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T an\Downloads\"/>
    </mc:Choice>
  </mc:AlternateContent>
  <xr:revisionPtr revIDLastSave="0" documentId="13_ncr:1_{3CED08E3-BA77-4F58-9D87-1234A66F755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puts" sheetId="1" r:id="rId1"/>
    <sheet name="Weekly Plan" sheetId="2" r:id="rId2"/>
    <sheet name="Lookups" sheetId="3" r:id="rId3"/>
    <sheet name="Instru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3" i="2" l="1"/>
  <c r="J53" i="2"/>
  <c r="H53" i="2"/>
  <c r="G53" i="2"/>
  <c r="F53" i="2"/>
  <c r="C53" i="2"/>
  <c r="B53" i="2"/>
  <c r="A53" i="2"/>
  <c r="O52" i="2"/>
  <c r="J52" i="2"/>
  <c r="H52" i="2"/>
  <c r="G52" i="2"/>
  <c r="F52" i="2"/>
  <c r="C52" i="2"/>
  <c r="B52" i="2"/>
  <c r="A52" i="2"/>
  <c r="O51" i="2"/>
  <c r="J51" i="2"/>
  <c r="H51" i="2"/>
  <c r="G51" i="2"/>
  <c r="F51" i="2"/>
  <c r="C51" i="2"/>
  <c r="B51" i="2"/>
  <c r="A51" i="2"/>
  <c r="O50" i="2"/>
  <c r="J50" i="2"/>
  <c r="H50" i="2"/>
  <c r="G50" i="2"/>
  <c r="F50" i="2"/>
  <c r="C50" i="2"/>
  <c r="B50" i="2"/>
  <c r="A50" i="2"/>
  <c r="O49" i="2"/>
  <c r="J49" i="2"/>
  <c r="H49" i="2"/>
  <c r="G49" i="2"/>
  <c r="F49" i="2"/>
  <c r="C49" i="2"/>
  <c r="B49" i="2"/>
  <c r="A49" i="2"/>
  <c r="O48" i="2"/>
  <c r="J48" i="2"/>
  <c r="H48" i="2"/>
  <c r="G48" i="2"/>
  <c r="F48" i="2"/>
  <c r="C48" i="2"/>
  <c r="B48" i="2"/>
  <c r="A48" i="2"/>
  <c r="O47" i="2"/>
  <c r="J47" i="2"/>
  <c r="H47" i="2"/>
  <c r="G47" i="2"/>
  <c r="F47" i="2"/>
  <c r="C47" i="2"/>
  <c r="B47" i="2"/>
  <c r="A47" i="2"/>
  <c r="O46" i="2"/>
  <c r="J46" i="2"/>
  <c r="H46" i="2"/>
  <c r="G46" i="2"/>
  <c r="F46" i="2"/>
  <c r="C46" i="2"/>
  <c r="B46" i="2"/>
  <c r="A46" i="2"/>
  <c r="O45" i="2"/>
  <c r="J45" i="2"/>
  <c r="H45" i="2"/>
  <c r="G45" i="2"/>
  <c r="F45" i="2"/>
  <c r="C45" i="2"/>
  <c r="B45" i="2"/>
  <c r="A45" i="2"/>
  <c r="O44" i="2"/>
  <c r="J44" i="2"/>
  <c r="H44" i="2"/>
  <c r="G44" i="2"/>
  <c r="F44" i="2"/>
  <c r="C44" i="2"/>
  <c r="B44" i="2"/>
  <c r="A44" i="2"/>
  <c r="O43" i="2"/>
  <c r="J43" i="2"/>
  <c r="H43" i="2"/>
  <c r="G43" i="2"/>
  <c r="F43" i="2"/>
  <c r="C43" i="2"/>
  <c r="B43" i="2"/>
  <c r="A43" i="2"/>
  <c r="O42" i="2"/>
  <c r="J42" i="2"/>
  <c r="H42" i="2"/>
  <c r="G42" i="2"/>
  <c r="F42" i="2"/>
  <c r="C42" i="2"/>
  <c r="B42" i="2"/>
  <c r="A42" i="2"/>
  <c r="O41" i="2"/>
  <c r="J41" i="2"/>
  <c r="H41" i="2"/>
  <c r="G41" i="2"/>
  <c r="F41" i="2"/>
  <c r="C41" i="2"/>
  <c r="B41" i="2"/>
  <c r="A41" i="2"/>
  <c r="O40" i="2"/>
  <c r="J40" i="2"/>
  <c r="H40" i="2"/>
  <c r="G40" i="2"/>
  <c r="F40" i="2"/>
  <c r="C40" i="2"/>
  <c r="B40" i="2"/>
  <c r="A40" i="2"/>
  <c r="O39" i="2"/>
  <c r="J39" i="2"/>
  <c r="H39" i="2"/>
  <c r="G39" i="2"/>
  <c r="F39" i="2"/>
  <c r="C39" i="2"/>
  <c r="B39" i="2"/>
  <c r="A39" i="2"/>
  <c r="O38" i="2"/>
  <c r="J38" i="2"/>
  <c r="H38" i="2"/>
  <c r="G38" i="2"/>
  <c r="F38" i="2"/>
  <c r="C38" i="2"/>
  <c r="B38" i="2"/>
  <c r="A38" i="2"/>
  <c r="O37" i="2"/>
  <c r="J37" i="2"/>
  <c r="H37" i="2"/>
  <c r="G37" i="2"/>
  <c r="F37" i="2"/>
  <c r="C37" i="2"/>
  <c r="B37" i="2"/>
  <c r="A37" i="2"/>
  <c r="O36" i="2"/>
  <c r="J36" i="2"/>
  <c r="H36" i="2"/>
  <c r="G36" i="2"/>
  <c r="F36" i="2"/>
  <c r="C36" i="2"/>
  <c r="B36" i="2"/>
  <c r="A36" i="2"/>
  <c r="O35" i="2"/>
  <c r="J35" i="2"/>
  <c r="H35" i="2"/>
  <c r="G35" i="2"/>
  <c r="F35" i="2"/>
  <c r="C35" i="2"/>
  <c r="B35" i="2"/>
  <c r="A35" i="2"/>
  <c r="O34" i="2"/>
  <c r="J34" i="2"/>
  <c r="H34" i="2"/>
  <c r="G34" i="2"/>
  <c r="F34" i="2"/>
  <c r="C34" i="2"/>
  <c r="B34" i="2"/>
  <c r="A34" i="2"/>
  <c r="O33" i="2"/>
  <c r="J33" i="2"/>
  <c r="H33" i="2"/>
  <c r="G33" i="2"/>
  <c r="F33" i="2"/>
  <c r="C33" i="2"/>
  <c r="B33" i="2"/>
  <c r="A33" i="2"/>
  <c r="O32" i="2"/>
  <c r="J32" i="2"/>
  <c r="H32" i="2"/>
  <c r="G32" i="2"/>
  <c r="F32" i="2"/>
  <c r="C32" i="2"/>
  <c r="B32" i="2"/>
  <c r="A32" i="2"/>
  <c r="O31" i="2"/>
  <c r="J31" i="2"/>
  <c r="H31" i="2"/>
  <c r="G31" i="2"/>
  <c r="F31" i="2"/>
  <c r="C31" i="2"/>
  <c r="B31" i="2"/>
  <c r="A31" i="2"/>
  <c r="O30" i="2"/>
  <c r="J30" i="2"/>
  <c r="H30" i="2"/>
  <c r="G30" i="2"/>
  <c r="F30" i="2"/>
  <c r="C30" i="2"/>
  <c r="B30" i="2"/>
  <c r="A30" i="2"/>
  <c r="O29" i="2"/>
  <c r="J29" i="2"/>
  <c r="H29" i="2"/>
  <c r="G29" i="2"/>
  <c r="F29" i="2"/>
  <c r="C29" i="2"/>
  <c r="B29" i="2"/>
  <c r="A29" i="2"/>
  <c r="O28" i="2"/>
  <c r="J28" i="2"/>
  <c r="H28" i="2"/>
  <c r="G28" i="2"/>
  <c r="F28" i="2"/>
  <c r="C28" i="2"/>
  <c r="B28" i="2"/>
  <c r="A28" i="2"/>
  <c r="O27" i="2"/>
  <c r="J27" i="2"/>
  <c r="H27" i="2"/>
  <c r="G27" i="2"/>
  <c r="F27" i="2"/>
  <c r="C27" i="2"/>
  <c r="B27" i="2"/>
  <c r="A27" i="2"/>
  <c r="O26" i="2"/>
  <c r="J26" i="2"/>
  <c r="H26" i="2"/>
  <c r="G26" i="2"/>
  <c r="F26" i="2"/>
  <c r="C26" i="2"/>
  <c r="B26" i="2"/>
  <c r="A26" i="2"/>
  <c r="O25" i="2"/>
  <c r="J25" i="2"/>
  <c r="H25" i="2"/>
  <c r="G25" i="2"/>
  <c r="F25" i="2"/>
  <c r="C25" i="2"/>
  <c r="B25" i="2"/>
  <c r="A25" i="2"/>
  <c r="O24" i="2"/>
  <c r="J24" i="2"/>
  <c r="H24" i="2"/>
  <c r="G24" i="2"/>
  <c r="F24" i="2"/>
  <c r="C24" i="2"/>
  <c r="B24" i="2"/>
  <c r="A24" i="2"/>
  <c r="O23" i="2"/>
  <c r="J23" i="2"/>
  <c r="H23" i="2"/>
  <c r="G23" i="2"/>
  <c r="F23" i="2"/>
  <c r="C23" i="2"/>
  <c r="B23" i="2"/>
  <c r="A23" i="2"/>
  <c r="O22" i="2"/>
  <c r="J22" i="2"/>
  <c r="H22" i="2"/>
  <c r="G22" i="2"/>
  <c r="F22" i="2"/>
  <c r="C22" i="2"/>
  <c r="B22" i="2"/>
  <c r="A22" i="2"/>
  <c r="O21" i="2"/>
  <c r="J21" i="2"/>
  <c r="H21" i="2"/>
  <c r="G21" i="2"/>
  <c r="F21" i="2"/>
  <c r="C21" i="2"/>
  <c r="B21" i="2"/>
  <c r="A21" i="2"/>
  <c r="O20" i="2"/>
  <c r="J20" i="2"/>
  <c r="H20" i="2"/>
  <c r="G20" i="2"/>
  <c r="F20" i="2"/>
  <c r="C20" i="2"/>
  <c r="B20" i="2"/>
  <c r="A20" i="2"/>
  <c r="O19" i="2"/>
  <c r="J19" i="2"/>
  <c r="H19" i="2"/>
  <c r="G19" i="2"/>
  <c r="F19" i="2"/>
  <c r="C19" i="2"/>
  <c r="B19" i="2"/>
  <c r="A19" i="2"/>
  <c r="O18" i="2"/>
  <c r="J18" i="2"/>
  <c r="H18" i="2"/>
  <c r="G18" i="2"/>
  <c r="F18" i="2"/>
  <c r="C18" i="2"/>
  <c r="B18" i="2"/>
  <c r="A18" i="2"/>
  <c r="O17" i="2"/>
  <c r="J17" i="2"/>
  <c r="H17" i="2"/>
  <c r="G17" i="2"/>
  <c r="F17" i="2"/>
  <c r="C17" i="2"/>
  <c r="B17" i="2"/>
  <c r="A17" i="2"/>
  <c r="O16" i="2"/>
  <c r="J16" i="2"/>
  <c r="H16" i="2"/>
  <c r="G16" i="2"/>
  <c r="F16" i="2"/>
  <c r="C16" i="2"/>
  <c r="B16" i="2"/>
  <c r="A16" i="2"/>
  <c r="O15" i="2"/>
  <c r="J15" i="2"/>
  <c r="H15" i="2"/>
  <c r="G15" i="2"/>
  <c r="F15" i="2"/>
  <c r="C15" i="2"/>
  <c r="B15" i="2"/>
  <c r="A15" i="2"/>
  <c r="O14" i="2"/>
  <c r="J14" i="2"/>
  <c r="H14" i="2"/>
  <c r="G14" i="2"/>
  <c r="F14" i="2"/>
  <c r="C14" i="2"/>
  <c r="B14" i="2"/>
  <c r="A14" i="2"/>
  <c r="O13" i="2"/>
  <c r="J13" i="2"/>
  <c r="H13" i="2"/>
  <c r="G13" i="2"/>
  <c r="F13" i="2"/>
  <c r="C13" i="2"/>
  <c r="B13" i="2"/>
  <c r="A13" i="2"/>
  <c r="O12" i="2"/>
  <c r="J12" i="2"/>
  <c r="H12" i="2"/>
  <c r="G12" i="2"/>
  <c r="F12" i="2"/>
  <c r="C12" i="2"/>
  <c r="B12" i="2"/>
  <c r="A12" i="2"/>
  <c r="O11" i="2"/>
  <c r="J11" i="2"/>
  <c r="H11" i="2"/>
  <c r="G11" i="2"/>
  <c r="F11" i="2"/>
  <c r="C11" i="2"/>
  <c r="B11" i="2"/>
  <c r="A11" i="2"/>
  <c r="O10" i="2"/>
  <c r="J10" i="2"/>
  <c r="H10" i="2"/>
  <c r="G10" i="2"/>
  <c r="F10" i="2"/>
  <c r="C10" i="2"/>
  <c r="B10" i="2"/>
  <c r="A10" i="2"/>
  <c r="O9" i="2"/>
  <c r="J9" i="2"/>
  <c r="H9" i="2"/>
  <c r="G9" i="2"/>
  <c r="F9" i="2"/>
  <c r="C9" i="2"/>
  <c r="B9" i="2"/>
  <c r="A9" i="2"/>
  <c r="O8" i="2"/>
  <c r="J8" i="2"/>
  <c r="H8" i="2"/>
  <c r="G8" i="2"/>
  <c r="F8" i="2"/>
  <c r="C8" i="2"/>
  <c r="B8" i="2"/>
  <c r="A8" i="2"/>
  <c r="O7" i="2"/>
  <c r="J7" i="2"/>
  <c r="H7" i="2"/>
  <c r="G7" i="2"/>
  <c r="F7" i="2"/>
  <c r="C7" i="2"/>
  <c r="B7" i="2"/>
  <c r="A7" i="2"/>
  <c r="O6" i="2"/>
  <c r="J6" i="2"/>
  <c r="H6" i="2"/>
  <c r="G6" i="2"/>
  <c r="F6" i="2"/>
  <c r="C6" i="2"/>
  <c r="B6" i="2"/>
  <c r="A6" i="2"/>
  <c r="O5" i="2"/>
  <c r="J5" i="2"/>
  <c r="H5" i="2"/>
  <c r="G5" i="2"/>
  <c r="F5" i="2"/>
  <c r="C5" i="2"/>
  <c r="B5" i="2"/>
  <c r="A5" i="2"/>
  <c r="R4" i="2"/>
  <c r="O4" i="2"/>
  <c r="J4" i="2"/>
  <c r="H4" i="2"/>
  <c r="G4" i="2"/>
  <c r="F4" i="2"/>
  <c r="C4" i="2"/>
  <c r="B4" i="2"/>
  <c r="A4" i="2"/>
  <c r="S58" i="1"/>
  <c r="L58" i="1"/>
  <c r="K53" i="2" s="1"/>
  <c r="J58" i="1"/>
  <c r="I58" i="1"/>
  <c r="D58" i="1"/>
  <c r="S57" i="1"/>
  <c r="M57" i="1"/>
  <c r="L57" i="1"/>
  <c r="K52" i="2" s="1"/>
  <c r="J57" i="1"/>
  <c r="I52" i="2" s="1"/>
  <c r="I57" i="1"/>
  <c r="F57" i="1"/>
  <c r="E52" i="2" s="1"/>
  <c r="D57" i="1"/>
  <c r="D52" i="2" s="1"/>
  <c r="S56" i="1"/>
  <c r="M56" i="1"/>
  <c r="L56" i="1"/>
  <c r="K51" i="2" s="1"/>
  <c r="J56" i="1"/>
  <c r="I51" i="2" s="1"/>
  <c r="I56" i="1"/>
  <c r="F56" i="1"/>
  <c r="E51" i="2" s="1"/>
  <c r="D56" i="1"/>
  <c r="D51" i="2" s="1"/>
  <c r="S55" i="1"/>
  <c r="M55" i="1"/>
  <c r="L55" i="1"/>
  <c r="K50" i="2" s="1"/>
  <c r="J55" i="1"/>
  <c r="I50" i="2" s="1"/>
  <c r="I55" i="1"/>
  <c r="F55" i="1"/>
  <c r="E50" i="2" s="1"/>
  <c r="D55" i="1"/>
  <c r="D50" i="2" s="1"/>
  <c r="S54" i="1"/>
  <c r="L54" i="1"/>
  <c r="K49" i="2" s="1"/>
  <c r="J54" i="1"/>
  <c r="I54" i="1"/>
  <c r="D54" i="1"/>
  <c r="S53" i="1"/>
  <c r="M53" i="1"/>
  <c r="L53" i="1"/>
  <c r="K48" i="2" s="1"/>
  <c r="J53" i="1"/>
  <c r="I48" i="2" s="1"/>
  <c r="I53" i="1"/>
  <c r="F53" i="1"/>
  <c r="E48" i="2" s="1"/>
  <c r="D53" i="1"/>
  <c r="D48" i="2" s="1"/>
  <c r="S52" i="1"/>
  <c r="M52" i="1"/>
  <c r="L52" i="1"/>
  <c r="K47" i="2" s="1"/>
  <c r="J52" i="1"/>
  <c r="I47" i="2" s="1"/>
  <c r="I52" i="1"/>
  <c r="F52" i="1"/>
  <c r="E47" i="2" s="1"/>
  <c r="D52" i="1"/>
  <c r="D47" i="2" s="1"/>
  <c r="S51" i="1"/>
  <c r="M51" i="1"/>
  <c r="L51" i="1"/>
  <c r="K46" i="2" s="1"/>
  <c r="J51" i="1"/>
  <c r="I46" i="2" s="1"/>
  <c r="I51" i="1"/>
  <c r="F51" i="1"/>
  <c r="E46" i="2" s="1"/>
  <c r="D51" i="1"/>
  <c r="D46" i="2" s="1"/>
  <c r="S50" i="1"/>
  <c r="L50" i="1"/>
  <c r="K45" i="2" s="1"/>
  <c r="J50" i="1"/>
  <c r="I45" i="2" s="1"/>
  <c r="I50" i="1"/>
  <c r="F50" i="1"/>
  <c r="E45" i="2" s="1"/>
  <c r="D50" i="1"/>
  <c r="D45" i="2" s="1"/>
  <c r="S49" i="1"/>
  <c r="L49" i="1"/>
  <c r="K44" i="2" s="1"/>
  <c r="J49" i="1"/>
  <c r="I49" i="1"/>
  <c r="D49" i="1"/>
  <c r="D44" i="2" s="1"/>
  <c r="S48" i="1"/>
  <c r="L48" i="1"/>
  <c r="J48" i="1"/>
  <c r="I43" i="2" s="1"/>
  <c r="I48" i="1"/>
  <c r="D48" i="1"/>
  <c r="S47" i="1"/>
  <c r="M47" i="1"/>
  <c r="L47" i="1"/>
  <c r="K42" i="2" s="1"/>
  <c r="J47" i="1"/>
  <c r="I42" i="2" s="1"/>
  <c r="I47" i="1"/>
  <c r="F47" i="1"/>
  <c r="E42" i="2" s="1"/>
  <c r="D47" i="1"/>
  <c r="D42" i="2" s="1"/>
  <c r="S46" i="1"/>
  <c r="L46" i="1"/>
  <c r="K41" i="2" s="1"/>
  <c r="J46" i="1"/>
  <c r="I41" i="2" s="1"/>
  <c r="I46" i="1"/>
  <c r="F46" i="1"/>
  <c r="E41" i="2" s="1"/>
  <c r="D46" i="1"/>
  <c r="D41" i="2" s="1"/>
  <c r="S45" i="1"/>
  <c r="L45" i="1"/>
  <c r="K40" i="2" s="1"/>
  <c r="J45" i="1"/>
  <c r="I45" i="1"/>
  <c r="D45" i="1"/>
  <c r="D40" i="2" s="1"/>
  <c r="S44" i="1"/>
  <c r="L44" i="1"/>
  <c r="J44" i="1"/>
  <c r="I39" i="2" s="1"/>
  <c r="I44" i="1"/>
  <c r="D44" i="1"/>
  <c r="S43" i="1"/>
  <c r="M43" i="1"/>
  <c r="L43" i="1"/>
  <c r="K38" i="2" s="1"/>
  <c r="J43" i="1"/>
  <c r="I38" i="2" s="1"/>
  <c r="I43" i="1"/>
  <c r="F43" i="1"/>
  <c r="E38" i="2" s="1"/>
  <c r="D43" i="1"/>
  <c r="D38" i="2" s="1"/>
  <c r="S42" i="1"/>
  <c r="L42" i="1"/>
  <c r="K37" i="2" s="1"/>
  <c r="J42" i="1"/>
  <c r="I37" i="2" s="1"/>
  <c r="I42" i="1"/>
  <c r="F42" i="1"/>
  <c r="E37" i="2" s="1"/>
  <c r="D42" i="1"/>
  <c r="D37" i="2" s="1"/>
  <c r="S41" i="1"/>
  <c r="L41" i="1"/>
  <c r="K36" i="2" s="1"/>
  <c r="J41" i="1"/>
  <c r="I41" i="1"/>
  <c r="D41" i="1"/>
  <c r="D36" i="2" s="1"/>
  <c r="S40" i="1"/>
  <c r="L40" i="1"/>
  <c r="J40" i="1"/>
  <c r="I35" i="2" s="1"/>
  <c r="I40" i="1"/>
  <c r="D40" i="1"/>
  <c r="S39" i="1"/>
  <c r="M39" i="1"/>
  <c r="L39" i="1"/>
  <c r="K34" i="2" s="1"/>
  <c r="J39" i="1"/>
  <c r="I34" i="2" s="1"/>
  <c r="I39" i="1"/>
  <c r="F39" i="1"/>
  <c r="E34" i="2" s="1"/>
  <c r="D39" i="1"/>
  <c r="D34" i="2" s="1"/>
  <c r="S38" i="1"/>
  <c r="L38" i="1"/>
  <c r="K33" i="2" s="1"/>
  <c r="J38" i="1"/>
  <c r="I33" i="2" s="1"/>
  <c r="I38" i="1"/>
  <c r="F38" i="1"/>
  <c r="E33" i="2" s="1"/>
  <c r="D38" i="1"/>
  <c r="D33" i="2" s="1"/>
  <c r="S37" i="1"/>
  <c r="L37" i="1"/>
  <c r="K32" i="2" s="1"/>
  <c r="J37" i="1"/>
  <c r="I37" i="1"/>
  <c r="D37" i="1"/>
  <c r="D32" i="2" s="1"/>
  <c r="S36" i="1"/>
  <c r="L36" i="1"/>
  <c r="K31" i="2" s="1"/>
  <c r="J36" i="1"/>
  <c r="I31" i="2" s="1"/>
  <c r="I36" i="1"/>
  <c r="D36" i="1"/>
  <c r="D31" i="2" s="1"/>
  <c r="S35" i="1"/>
  <c r="N35" i="1"/>
  <c r="M35" i="1"/>
  <c r="L35" i="1"/>
  <c r="K30" i="2" s="1"/>
  <c r="J35" i="1"/>
  <c r="I30" i="2" s="1"/>
  <c r="I35" i="1"/>
  <c r="F35" i="1"/>
  <c r="E30" i="2" s="1"/>
  <c r="D35" i="1"/>
  <c r="D30" i="2" s="1"/>
  <c r="S34" i="1"/>
  <c r="L34" i="1"/>
  <c r="K29" i="2" s="1"/>
  <c r="J34" i="1"/>
  <c r="I34" i="1"/>
  <c r="F34" i="1"/>
  <c r="E29" i="2" s="1"/>
  <c r="D34" i="1"/>
  <c r="D29" i="2" s="1"/>
  <c r="S33" i="1"/>
  <c r="L33" i="1"/>
  <c r="K28" i="2" s="1"/>
  <c r="J33" i="1"/>
  <c r="I33" i="1"/>
  <c r="D33" i="1"/>
  <c r="T32" i="1"/>
  <c r="S32" i="1"/>
  <c r="M32" i="1"/>
  <c r="L32" i="1"/>
  <c r="K27" i="2" s="1"/>
  <c r="J32" i="1"/>
  <c r="I27" i="2" s="1"/>
  <c r="I32" i="1"/>
  <c r="F32" i="1"/>
  <c r="E27" i="2" s="1"/>
  <c r="D32" i="1"/>
  <c r="D27" i="2" s="1"/>
  <c r="S31" i="1"/>
  <c r="N31" i="1"/>
  <c r="M31" i="1"/>
  <c r="L31" i="1"/>
  <c r="K26" i="2" s="1"/>
  <c r="J31" i="1"/>
  <c r="I26" i="2" s="1"/>
  <c r="I31" i="1"/>
  <c r="F31" i="1"/>
  <c r="E26" i="2" s="1"/>
  <c r="D31" i="1"/>
  <c r="D26" i="2" s="1"/>
  <c r="S30" i="1"/>
  <c r="L30" i="1"/>
  <c r="K25" i="2" s="1"/>
  <c r="J30" i="1"/>
  <c r="I30" i="1"/>
  <c r="F30" i="1"/>
  <c r="E25" i="2" s="1"/>
  <c r="D30" i="1"/>
  <c r="D25" i="2" s="1"/>
  <c r="S29" i="1"/>
  <c r="L29" i="1"/>
  <c r="K24" i="2" s="1"/>
  <c r="J29" i="1"/>
  <c r="I29" i="1"/>
  <c r="D29" i="1"/>
  <c r="S28" i="1"/>
  <c r="M28" i="1"/>
  <c r="L28" i="1"/>
  <c r="K23" i="2" s="1"/>
  <c r="J28" i="1"/>
  <c r="I23" i="2" s="1"/>
  <c r="I28" i="1"/>
  <c r="F28" i="1"/>
  <c r="E23" i="2" s="1"/>
  <c r="D28" i="1"/>
  <c r="D23" i="2" s="1"/>
  <c r="S27" i="1"/>
  <c r="M27" i="1"/>
  <c r="N27" i="1" s="1"/>
  <c r="L27" i="1"/>
  <c r="K22" i="2" s="1"/>
  <c r="J27" i="1"/>
  <c r="I22" i="2" s="1"/>
  <c r="I27" i="1"/>
  <c r="F27" i="1"/>
  <c r="E22" i="2" s="1"/>
  <c r="D27" i="1"/>
  <c r="D22" i="2" s="1"/>
  <c r="S26" i="1"/>
  <c r="L26" i="1"/>
  <c r="K21" i="2" s="1"/>
  <c r="J26" i="1"/>
  <c r="I26" i="1"/>
  <c r="F26" i="1"/>
  <c r="E21" i="2" s="1"/>
  <c r="D26" i="1"/>
  <c r="D21" i="2" s="1"/>
  <c r="S25" i="1"/>
  <c r="L25" i="1"/>
  <c r="K20" i="2" s="1"/>
  <c r="J25" i="1"/>
  <c r="I25" i="1"/>
  <c r="D25" i="1"/>
  <c r="S24" i="1"/>
  <c r="L24" i="1"/>
  <c r="K19" i="2" s="1"/>
  <c r="J24" i="1"/>
  <c r="I19" i="2" s="1"/>
  <c r="I24" i="1"/>
  <c r="F24" i="1"/>
  <c r="E19" i="2" s="1"/>
  <c r="D24" i="1"/>
  <c r="D19" i="2" s="1"/>
  <c r="T23" i="1"/>
  <c r="S23" i="1"/>
  <c r="N23" i="1"/>
  <c r="M23" i="1"/>
  <c r="L18" i="2" s="1"/>
  <c r="L23" i="1"/>
  <c r="K18" i="2" s="1"/>
  <c r="J23" i="1"/>
  <c r="I18" i="2" s="1"/>
  <c r="I23" i="1"/>
  <c r="F23" i="1"/>
  <c r="E18" i="2" s="1"/>
  <c r="D23" i="1"/>
  <c r="D18" i="2" s="1"/>
  <c r="S22" i="1"/>
  <c r="M22" i="1"/>
  <c r="L22" i="1"/>
  <c r="K17" i="2" s="1"/>
  <c r="J22" i="1"/>
  <c r="I17" i="2" s="1"/>
  <c r="I22" i="1"/>
  <c r="F22" i="1"/>
  <c r="E17" i="2" s="1"/>
  <c r="D22" i="1"/>
  <c r="D17" i="2" s="1"/>
  <c r="S21" i="1"/>
  <c r="L21" i="1"/>
  <c r="K16" i="2" s="1"/>
  <c r="J21" i="1"/>
  <c r="I21" i="1"/>
  <c r="D21" i="1"/>
  <c r="S20" i="1"/>
  <c r="L20" i="1"/>
  <c r="K15" i="2" s="1"/>
  <c r="J20" i="1"/>
  <c r="I15" i="2" s="1"/>
  <c r="I20" i="1"/>
  <c r="F20" i="1"/>
  <c r="E15" i="2" s="1"/>
  <c r="D20" i="1"/>
  <c r="D15" i="2" s="1"/>
  <c r="T19" i="1"/>
  <c r="S19" i="1"/>
  <c r="N19" i="1"/>
  <c r="M19" i="1"/>
  <c r="L14" i="2" s="1"/>
  <c r="L19" i="1"/>
  <c r="K14" i="2" s="1"/>
  <c r="J19" i="1"/>
  <c r="I14" i="2" s="1"/>
  <c r="I19" i="1"/>
  <c r="F19" i="1"/>
  <c r="E14" i="2" s="1"/>
  <c r="D19" i="1"/>
  <c r="D14" i="2" s="1"/>
  <c r="S18" i="1"/>
  <c r="M18" i="1"/>
  <c r="L18" i="1"/>
  <c r="K13" i="2" s="1"/>
  <c r="J18" i="1"/>
  <c r="I13" i="2" s="1"/>
  <c r="I18" i="1"/>
  <c r="F18" i="1"/>
  <c r="E13" i="2" s="1"/>
  <c r="D18" i="1"/>
  <c r="D13" i="2" s="1"/>
  <c r="S17" i="1"/>
  <c r="L17" i="1"/>
  <c r="K12" i="2" s="1"/>
  <c r="J17" i="1"/>
  <c r="I17" i="1"/>
  <c r="D17" i="1"/>
  <c r="S16" i="1"/>
  <c r="L16" i="1"/>
  <c r="K11" i="2" s="1"/>
  <c r="J16" i="1"/>
  <c r="I11" i="2" s="1"/>
  <c r="I16" i="1"/>
  <c r="F16" i="1"/>
  <c r="E11" i="2" s="1"/>
  <c r="D16" i="1"/>
  <c r="D11" i="2" s="1"/>
  <c r="T15" i="1"/>
  <c r="S15" i="1"/>
  <c r="N15" i="1"/>
  <c r="M15" i="1"/>
  <c r="L10" i="2" s="1"/>
  <c r="L15" i="1"/>
  <c r="K10" i="2" s="1"/>
  <c r="J15" i="1"/>
  <c r="I10" i="2" s="1"/>
  <c r="I15" i="1"/>
  <c r="F15" i="1"/>
  <c r="E10" i="2" s="1"/>
  <c r="D15" i="1"/>
  <c r="D10" i="2" s="1"/>
  <c r="S14" i="1"/>
  <c r="M14" i="1"/>
  <c r="L14" i="1"/>
  <c r="K9" i="2" s="1"/>
  <c r="J14" i="1"/>
  <c r="I9" i="2" s="1"/>
  <c r="I14" i="1"/>
  <c r="F14" i="1"/>
  <c r="E9" i="2" s="1"/>
  <c r="D14" i="1"/>
  <c r="D9" i="2" s="1"/>
  <c r="S13" i="1"/>
  <c r="L13" i="1"/>
  <c r="K8" i="2" s="1"/>
  <c r="I13" i="1"/>
  <c r="J13" i="1" s="1"/>
  <c r="D13" i="1"/>
  <c r="D8" i="2" s="1"/>
  <c r="S12" i="1"/>
  <c r="L12" i="1"/>
  <c r="K7" i="2" s="1"/>
  <c r="J12" i="1"/>
  <c r="I12" i="1"/>
  <c r="D12" i="1"/>
  <c r="D7" i="2" s="1"/>
  <c r="S11" i="1"/>
  <c r="L11" i="1"/>
  <c r="K6" i="2" s="1"/>
  <c r="I11" i="1"/>
  <c r="J11" i="1" s="1"/>
  <c r="D11" i="1"/>
  <c r="S10" i="1"/>
  <c r="M10" i="1"/>
  <c r="L10" i="1"/>
  <c r="K5" i="2" s="1"/>
  <c r="I10" i="1"/>
  <c r="J10" i="1" s="1"/>
  <c r="I5" i="2" s="1"/>
  <c r="F10" i="1"/>
  <c r="E5" i="2" s="1"/>
  <c r="D10" i="1"/>
  <c r="D5" i="2" s="1"/>
  <c r="S9" i="1"/>
  <c r="L9" i="1"/>
  <c r="K4" i="2" s="1"/>
  <c r="I9" i="1"/>
  <c r="J9" i="1" s="1"/>
  <c r="D9" i="1"/>
  <c r="D4" i="2" s="1"/>
  <c r="D6" i="2" l="1"/>
  <c r="F11" i="1"/>
  <c r="E6" i="2" s="1"/>
  <c r="L5" i="2"/>
  <c r="T10" i="1"/>
  <c r="N10" i="1"/>
  <c r="I6" i="2"/>
  <c r="M11" i="1"/>
  <c r="I8" i="2"/>
  <c r="M13" i="1"/>
  <c r="L17" i="2"/>
  <c r="T22" i="1"/>
  <c r="N22" i="1"/>
  <c r="L13" i="2"/>
  <c r="T18" i="1"/>
  <c r="N18" i="1"/>
  <c r="M18" i="2"/>
  <c r="O23" i="1"/>
  <c r="P23" i="1" s="1"/>
  <c r="Q23" i="1" s="1"/>
  <c r="D24" i="2"/>
  <c r="F29" i="1"/>
  <c r="E24" i="2" s="1"/>
  <c r="I4" i="2"/>
  <c r="M9" i="1"/>
  <c r="L9" i="2"/>
  <c r="T14" i="1"/>
  <c r="N14" i="1"/>
  <c r="M14" i="2"/>
  <c r="O19" i="1"/>
  <c r="P19" i="1" s="1"/>
  <c r="Q19" i="1" s="1"/>
  <c r="M22" i="2"/>
  <c r="O27" i="1"/>
  <c r="P27" i="1" s="1"/>
  <c r="Q27" i="1" s="1"/>
  <c r="I7" i="2"/>
  <c r="M12" i="1"/>
  <c r="M10" i="2"/>
  <c r="O15" i="1"/>
  <c r="P15" i="1" s="1"/>
  <c r="Q15" i="1" s="1"/>
  <c r="L27" i="2"/>
  <c r="N32" i="1"/>
  <c r="L51" i="2"/>
  <c r="T56" i="1"/>
  <c r="N56" i="1"/>
  <c r="L38" i="2"/>
  <c r="T43" i="1"/>
  <c r="N43" i="1"/>
  <c r="I29" i="2"/>
  <c r="M34" i="1"/>
  <c r="M30" i="2"/>
  <c r="O35" i="1"/>
  <c r="P35" i="1" s="1"/>
  <c r="Q35" i="1" s="1"/>
  <c r="I36" i="2"/>
  <c r="M41" i="1"/>
  <c r="L52" i="2"/>
  <c r="N57" i="1"/>
  <c r="T57" i="1"/>
  <c r="F12" i="1"/>
  <c r="E7" i="2" s="1"/>
  <c r="I21" i="2"/>
  <c r="M26" i="1"/>
  <c r="I24" i="2"/>
  <c r="M29" i="1"/>
  <c r="L26" i="2"/>
  <c r="T31" i="1"/>
  <c r="K35" i="2"/>
  <c r="M40" i="1"/>
  <c r="L42" i="2"/>
  <c r="T47" i="1"/>
  <c r="N47" i="1"/>
  <c r="I44" i="2"/>
  <c r="M49" i="1"/>
  <c r="L34" i="2"/>
  <c r="T39" i="1"/>
  <c r="N39" i="1"/>
  <c r="D39" i="2"/>
  <c r="F44" i="1"/>
  <c r="E39" i="2" s="1"/>
  <c r="K43" i="2"/>
  <c r="M48" i="1"/>
  <c r="I53" i="2"/>
  <c r="M58" i="1"/>
  <c r="D12" i="2"/>
  <c r="F17" i="1"/>
  <c r="E12" i="2" s="1"/>
  <c r="D16" i="2"/>
  <c r="F21" i="1"/>
  <c r="E16" i="2" s="1"/>
  <c r="D20" i="2"/>
  <c r="F25" i="1"/>
  <c r="E20" i="2" s="1"/>
  <c r="L22" i="2"/>
  <c r="T27" i="1"/>
  <c r="D28" i="2"/>
  <c r="F33" i="1"/>
  <c r="E28" i="2" s="1"/>
  <c r="F36" i="1"/>
  <c r="E31" i="2" s="1"/>
  <c r="M36" i="1"/>
  <c r="I40" i="2"/>
  <c r="M45" i="1"/>
  <c r="D43" i="2"/>
  <c r="F48" i="1"/>
  <c r="E43" i="2" s="1"/>
  <c r="F9" i="1"/>
  <c r="E4" i="2" s="1"/>
  <c r="F13" i="1"/>
  <c r="E8" i="2" s="1"/>
  <c r="M16" i="1"/>
  <c r="I12" i="2"/>
  <c r="M17" i="1"/>
  <c r="M20" i="1"/>
  <c r="I16" i="2"/>
  <c r="M21" i="1"/>
  <c r="M24" i="1"/>
  <c r="I20" i="2"/>
  <c r="M25" i="1"/>
  <c r="L23" i="2"/>
  <c r="N28" i="1"/>
  <c r="T28" i="1"/>
  <c r="I25" i="2"/>
  <c r="M30" i="1"/>
  <c r="M26" i="2"/>
  <c r="O31" i="1"/>
  <c r="P31" i="1" s="1"/>
  <c r="Q31" i="1" s="1"/>
  <c r="I28" i="2"/>
  <c r="M33" i="1"/>
  <c r="L30" i="2"/>
  <c r="T35" i="1"/>
  <c r="I32" i="2"/>
  <c r="M37" i="1"/>
  <c r="D35" i="2"/>
  <c r="F40" i="1"/>
  <c r="E35" i="2" s="1"/>
  <c r="K39" i="2"/>
  <c r="M44" i="1"/>
  <c r="T51" i="1"/>
  <c r="L46" i="2"/>
  <c r="N51" i="1"/>
  <c r="L47" i="2"/>
  <c r="T52" i="1"/>
  <c r="N52" i="1"/>
  <c r="L48" i="2"/>
  <c r="N53" i="1"/>
  <c r="T53" i="1"/>
  <c r="I49" i="2"/>
  <c r="M54" i="1"/>
  <c r="T55" i="1"/>
  <c r="L50" i="2"/>
  <c r="F37" i="1"/>
  <c r="E32" i="2" s="1"/>
  <c r="F41" i="1"/>
  <c r="E36" i="2" s="1"/>
  <c r="F45" i="1"/>
  <c r="E40" i="2" s="1"/>
  <c r="F49" i="1"/>
  <c r="E44" i="2" s="1"/>
  <c r="D49" i="2"/>
  <c r="F54" i="1"/>
  <c r="E49" i="2" s="1"/>
  <c r="N55" i="1"/>
  <c r="D53" i="2"/>
  <c r="F58" i="1"/>
  <c r="E53" i="2" s="1"/>
  <c r="M38" i="1"/>
  <c r="M42" i="1"/>
  <c r="M46" i="1"/>
  <c r="M50" i="1"/>
  <c r="N26" i="2" l="1"/>
  <c r="R31" i="1"/>
  <c r="M42" i="2"/>
  <c r="O47" i="1"/>
  <c r="P47" i="1" s="1"/>
  <c r="Q47" i="1" s="1"/>
  <c r="N18" i="2"/>
  <c r="R23" i="1"/>
  <c r="L37" i="2"/>
  <c r="T42" i="1"/>
  <c r="N42" i="1"/>
  <c r="M50" i="2"/>
  <c r="O55" i="1"/>
  <c r="P55" i="1" s="1"/>
  <c r="Q55" i="1" s="1"/>
  <c r="M48" i="2"/>
  <c r="O53" i="1"/>
  <c r="P53" i="1" s="1"/>
  <c r="Q53" i="1" s="1"/>
  <c r="L39" i="2"/>
  <c r="N44" i="1"/>
  <c r="T44" i="1"/>
  <c r="L32" i="2"/>
  <c r="N37" i="1"/>
  <c r="T37" i="1"/>
  <c r="L28" i="2"/>
  <c r="N33" i="1"/>
  <c r="T33" i="1"/>
  <c r="L25" i="2"/>
  <c r="T30" i="1"/>
  <c r="N30" i="1"/>
  <c r="L16" i="2"/>
  <c r="T21" i="1"/>
  <c r="N21" i="1"/>
  <c r="L31" i="2"/>
  <c r="N36" i="1"/>
  <c r="T36" i="1"/>
  <c r="L53" i="2"/>
  <c r="N58" i="1"/>
  <c r="T58" i="1"/>
  <c r="L21" i="2"/>
  <c r="T26" i="1"/>
  <c r="N26" i="1"/>
  <c r="M52" i="2"/>
  <c r="O57" i="1"/>
  <c r="P57" i="1" s="1"/>
  <c r="Q57" i="1" s="1"/>
  <c r="N30" i="2"/>
  <c r="R35" i="1"/>
  <c r="M38" i="2"/>
  <c r="O43" i="1"/>
  <c r="P43" i="1" s="1"/>
  <c r="Q43" i="1" s="1"/>
  <c r="N10" i="2"/>
  <c r="R15" i="1"/>
  <c r="N22" i="2"/>
  <c r="R27" i="1"/>
  <c r="M9" i="2"/>
  <c r="O14" i="1"/>
  <c r="P14" i="1" s="1"/>
  <c r="Q14" i="1" s="1"/>
  <c r="M17" i="2"/>
  <c r="O22" i="1"/>
  <c r="P22" i="1" s="1"/>
  <c r="Q22" i="1" s="1"/>
  <c r="L45" i="2"/>
  <c r="T50" i="1"/>
  <c r="N50" i="1"/>
  <c r="M23" i="2"/>
  <c r="O28" i="1"/>
  <c r="P28" i="1" s="1"/>
  <c r="Q28" i="1" s="1"/>
  <c r="L19" i="2"/>
  <c r="N24" i="1"/>
  <c r="T24" i="1"/>
  <c r="O56" i="1"/>
  <c r="P56" i="1" s="1"/>
  <c r="Q56" i="1" s="1"/>
  <c r="M51" i="2"/>
  <c r="L4" i="2"/>
  <c r="T9" i="1"/>
  <c r="N9" i="1"/>
  <c r="M5" i="2"/>
  <c r="O10" i="1"/>
  <c r="P10" i="1" s="1"/>
  <c r="Q10" i="1" s="1"/>
  <c r="L33" i="2"/>
  <c r="T38" i="1"/>
  <c r="N38" i="1"/>
  <c r="L49" i="2"/>
  <c r="T54" i="1"/>
  <c r="N54" i="1"/>
  <c r="M46" i="2"/>
  <c r="O51" i="1"/>
  <c r="P51" i="1" s="1"/>
  <c r="Q51" i="1" s="1"/>
  <c r="L20" i="2"/>
  <c r="N25" i="1"/>
  <c r="T25" i="1"/>
  <c r="L11" i="2"/>
  <c r="N16" i="1"/>
  <c r="T16" i="1"/>
  <c r="L44" i="2"/>
  <c r="N49" i="1"/>
  <c r="T49" i="1"/>
  <c r="M13" i="2"/>
  <c r="O18" i="1"/>
  <c r="P18" i="1" s="1"/>
  <c r="Q18" i="1" s="1"/>
  <c r="L6" i="2"/>
  <c r="N11" i="1"/>
  <c r="T11" i="1"/>
  <c r="M47" i="2"/>
  <c r="O52" i="1"/>
  <c r="P52" i="1" s="1"/>
  <c r="Q52" i="1" s="1"/>
  <c r="L15" i="2"/>
  <c r="N20" i="1"/>
  <c r="T20" i="1"/>
  <c r="L40" i="2"/>
  <c r="N45" i="1"/>
  <c r="T45" i="1"/>
  <c r="L43" i="2"/>
  <c r="N48" i="1"/>
  <c r="T48" i="1"/>
  <c r="M34" i="2"/>
  <c r="O39" i="1"/>
  <c r="P39" i="1" s="1"/>
  <c r="Q39" i="1" s="1"/>
  <c r="L35" i="2"/>
  <c r="N40" i="1"/>
  <c r="T40" i="1"/>
  <c r="L24" i="2"/>
  <c r="N29" i="1"/>
  <c r="T29" i="1"/>
  <c r="L36" i="2"/>
  <c r="N41" i="1"/>
  <c r="T41" i="1"/>
  <c r="L29" i="2"/>
  <c r="T34" i="1"/>
  <c r="N34" i="1"/>
  <c r="M27" i="2"/>
  <c r="O32" i="1"/>
  <c r="P32" i="1" s="1"/>
  <c r="Q32" i="1" s="1"/>
  <c r="L7" i="2"/>
  <c r="N12" i="1"/>
  <c r="T12" i="1"/>
  <c r="N14" i="2"/>
  <c r="R19" i="1"/>
  <c r="L41" i="2"/>
  <c r="T46" i="1"/>
  <c r="N46" i="1"/>
  <c r="L12" i="2"/>
  <c r="N17" i="1"/>
  <c r="T17" i="1"/>
  <c r="L8" i="2"/>
  <c r="T13" i="1"/>
  <c r="N13" i="1"/>
  <c r="N5" i="2" l="1"/>
  <c r="R10" i="1"/>
  <c r="M12" i="2"/>
  <c r="O17" i="1"/>
  <c r="P17" i="1" s="1"/>
  <c r="Q17" i="1" s="1"/>
  <c r="N34" i="2"/>
  <c r="R39" i="1"/>
  <c r="M33" i="2"/>
  <c r="O38" i="1"/>
  <c r="P38" i="1" s="1"/>
  <c r="Q38" i="1" s="1"/>
  <c r="M25" i="2"/>
  <c r="O30" i="1"/>
  <c r="P30" i="1" s="1"/>
  <c r="Q30" i="1" s="1"/>
  <c r="R53" i="1"/>
  <c r="N48" i="2"/>
  <c r="M15" i="2"/>
  <c r="O20" i="1"/>
  <c r="P20" i="1" s="1"/>
  <c r="Q20" i="1" s="1"/>
  <c r="M20" i="2"/>
  <c r="O25" i="1"/>
  <c r="P25" i="1" s="1"/>
  <c r="Q25" i="1" s="1"/>
  <c r="M49" i="2"/>
  <c r="O54" i="1"/>
  <c r="P54" i="1" s="1"/>
  <c r="Q54" i="1" s="1"/>
  <c r="M4" i="2"/>
  <c r="O9" i="1"/>
  <c r="P9" i="1" s="1"/>
  <c r="Q9" i="1" s="1"/>
  <c r="N51" i="2"/>
  <c r="R56" i="1"/>
  <c r="N23" i="2"/>
  <c r="R28" i="1"/>
  <c r="M16" i="2"/>
  <c r="O21" i="1"/>
  <c r="P21" i="1" s="1"/>
  <c r="Q21" i="1" s="1"/>
  <c r="N42" i="2"/>
  <c r="R47" i="1"/>
  <c r="M43" i="2"/>
  <c r="O48" i="1"/>
  <c r="P48" i="1" s="1"/>
  <c r="Q48" i="1" s="1"/>
  <c r="N47" i="2"/>
  <c r="R52" i="1"/>
  <c r="M8" i="2"/>
  <c r="R8" i="2" s="1"/>
  <c r="O13" i="1"/>
  <c r="P13" i="1" s="1"/>
  <c r="Q13" i="1" s="1"/>
  <c r="M29" i="2"/>
  <c r="O34" i="1"/>
  <c r="P34" i="1" s="1"/>
  <c r="Q34" i="1" s="1"/>
  <c r="M36" i="2"/>
  <c r="O41" i="1"/>
  <c r="P41" i="1" s="1"/>
  <c r="Q41" i="1" s="1"/>
  <c r="N13" i="2"/>
  <c r="R18" i="1"/>
  <c r="N9" i="2"/>
  <c r="R14" i="1"/>
  <c r="M21" i="2"/>
  <c r="O26" i="1"/>
  <c r="P26" i="1" s="1"/>
  <c r="Q26" i="1" s="1"/>
  <c r="M41" i="2"/>
  <c r="O46" i="1"/>
  <c r="P46" i="1" s="1"/>
  <c r="Q46" i="1" s="1"/>
  <c r="N27" i="2"/>
  <c r="R32" i="1"/>
  <c r="M35" i="2"/>
  <c r="O40" i="1"/>
  <c r="P40" i="1" s="1"/>
  <c r="Q40" i="1" s="1"/>
  <c r="M40" i="2"/>
  <c r="O45" i="1"/>
  <c r="P45" i="1" s="1"/>
  <c r="Q45" i="1" s="1"/>
  <c r="M6" i="2"/>
  <c r="O11" i="1"/>
  <c r="P11" i="1" s="1"/>
  <c r="Q11" i="1" s="1"/>
  <c r="M11" i="2"/>
  <c r="O16" i="1"/>
  <c r="P16" i="1" s="1"/>
  <c r="Q16" i="1" s="1"/>
  <c r="N17" i="2"/>
  <c r="R22" i="1"/>
  <c r="N38" i="2"/>
  <c r="R43" i="1"/>
  <c r="R57" i="1"/>
  <c r="N52" i="2"/>
  <c r="M39" i="2"/>
  <c r="O44" i="1"/>
  <c r="P44" i="1" s="1"/>
  <c r="Q44" i="1" s="1"/>
  <c r="N50" i="2"/>
  <c r="R55" i="1"/>
  <c r="M24" i="2"/>
  <c r="O29" i="1"/>
  <c r="P29" i="1" s="1"/>
  <c r="Q29" i="1" s="1"/>
  <c r="N46" i="2"/>
  <c r="R51" i="1"/>
  <c r="R5" i="2"/>
  <c r="M19" i="2"/>
  <c r="O24" i="1"/>
  <c r="P24" i="1" s="1"/>
  <c r="Q24" i="1" s="1"/>
  <c r="M45" i="2"/>
  <c r="O50" i="1"/>
  <c r="P50" i="1" s="1"/>
  <c r="Q50" i="1" s="1"/>
  <c r="M31" i="2"/>
  <c r="O36" i="1"/>
  <c r="P36" i="1" s="1"/>
  <c r="Q36" i="1" s="1"/>
  <c r="M32" i="2"/>
  <c r="O37" i="1"/>
  <c r="P37" i="1" s="1"/>
  <c r="Q37" i="1" s="1"/>
  <c r="M44" i="2"/>
  <c r="O49" i="1"/>
  <c r="P49" i="1" s="1"/>
  <c r="Q49" i="1" s="1"/>
  <c r="M7" i="2"/>
  <c r="R7" i="2" s="1"/>
  <c r="O12" i="1"/>
  <c r="P12" i="1" s="1"/>
  <c r="Q12" i="1" s="1"/>
  <c r="M53" i="2"/>
  <c r="O58" i="1"/>
  <c r="P58" i="1" s="1"/>
  <c r="Q58" i="1" s="1"/>
  <c r="M28" i="2"/>
  <c r="O33" i="1"/>
  <c r="P33" i="1" s="1"/>
  <c r="Q33" i="1" s="1"/>
  <c r="M37" i="2"/>
  <c r="O42" i="1"/>
  <c r="P42" i="1" s="1"/>
  <c r="Q42" i="1" s="1"/>
  <c r="N37" i="2" l="1"/>
  <c r="R42" i="1"/>
  <c r="N31" i="2"/>
  <c r="R36" i="1"/>
  <c r="N24" i="2"/>
  <c r="R29" i="1"/>
  <c r="N39" i="2"/>
  <c r="R44" i="1"/>
  <c r="N11" i="2"/>
  <c r="R16" i="1"/>
  <c r="N40" i="2"/>
  <c r="R45" i="1"/>
  <c r="N21" i="2"/>
  <c r="R26" i="1"/>
  <c r="N29" i="2"/>
  <c r="R34" i="1"/>
  <c r="N4" i="2"/>
  <c r="R9" i="1"/>
  <c r="N20" i="2"/>
  <c r="R25" i="1"/>
  <c r="N33" i="2"/>
  <c r="R38" i="1"/>
  <c r="N12" i="2"/>
  <c r="R17" i="1"/>
  <c r="N53" i="2"/>
  <c r="R58" i="1"/>
  <c r="N44" i="2"/>
  <c r="R49" i="1"/>
  <c r="N19" i="2"/>
  <c r="R24" i="1"/>
  <c r="N28" i="2"/>
  <c r="R33" i="1"/>
  <c r="N7" i="2"/>
  <c r="R12" i="1"/>
  <c r="N32" i="2"/>
  <c r="R37" i="1"/>
  <c r="N45" i="2"/>
  <c r="R50" i="1"/>
  <c r="R6" i="2"/>
  <c r="N6" i="2"/>
  <c r="R11" i="1"/>
  <c r="N35" i="2"/>
  <c r="R40" i="1"/>
  <c r="N41" i="2"/>
  <c r="R46" i="1"/>
  <c r="N36" i="2"/>
  <c r="R41" i="1"/>
  <c r="N8" i="2"/>
  <c r="R13" i="1"/>
  <c r="N43" i="2"/>
  <c r="R48" i="1"/>
  <c r="N16" i="2"/>
  <c r="R21" i="1"/>
  <c r="N49" i="2"/>
  <c r="R54" i="1"/>
  <c r="N15" i="2"/>
  <c r="R20" i="1"/>
  <c r="N25" i="2"/>
  <c r="R30" i="1"/>
  <c r="R9" i="2" l="1"/>
</calcChain>
</file>

<file path=xl/sharedStrings.xml><?xml version="1.0" encoding="utf-8"?>
<sst xmlns="http://schemas.openxmlformats.org/spreadsheetml/2006/main" count="95" uniqueCount="78">
  <si>
    <t>Default Current Week</t>
  </si>
  <si>
    <t>Default Sales Growth %</t>
  </si>
  <si>
    <t>Default Working Days This Week</t>
  </si>
  <si>
    <t>Line</t>
  </si>
  <si>
    <t>Crop Name</t>
  </si>
  <si>
    <t>Sow Priority (1=First)</t>
  </si>
  <si>
    <t>Current Week</t>
  </si>
  <si>
    <t>Grow Weeks</t>
  </si>
  <si>
    <t>Week Ready For</t>
  </si>
  <si>
    <t>Grow Tray</t>
  </si>
  <si>
    <t>Base Forecast Output Units</t>
  </si>
  <si>
    <t>Sales Growth %</t>
  </si>
  <si>
    <t>Adjusted Output Units</t>
  </si>
  <si>
    <t>Output Divisor</t>
  </si>
  <si>
    <t>Seeds Required to Plant</t>
  </si>
  <si>
    <t>Grow Trays Required</t>
  </si>
  <si>
    <t>Total Tray Cells Sown</t>
  </si>
  <si>
    <t>Expected Good Plants</t>
  </si>
  <si>
    <t>Expected Output Units</t>
  </si>
  <si>
    <t>Difference vs Adjusted Forecast</t>
  </si>
  <si>
    <t>Capacity Group</t>
  </si>
  <si>
    <t>Sow This Week?</t>
  </si>
  <si>
    <t>Notes</t>
  </si>
  <si>
    <t>Begonia 6-pack</t>
  </si>
  <si>
    <t>Example</t>
  </si>
  <si>
    <t>Petunia 6-pack</t>
  </si>
  <si>
    <t>Marigold 6-pack</t>
  </si>
  <si>
    <t>Petunia colour pot</t>
  </si>
  <si>
    <t>Dianthus perennial pot</t>
  </si>
  <si>
    <t>Weekly Sowing Output - Sort by Priority or Seed Pulling Order</t>
  </si>
  <si>
    <t>Sow Priority</t>
  </si>
  <si>
    <t>Base Forecast Units</t>
  </si>
  <si>
    <t>Adjusted Units</t>
  </si>
  <si>
    <t>Growth %</t>
  </si>
  <si>
    <t>Seeds to Sow</t>
  </si>
  <si>
    <t>Trays to Sow</t>
  </si>
  <si>
    <t>Summary</t>
  </si>
  <si>
    <t>Total Seeds</t>
  </si>
  <si>
    <t>Total 595 Trays</t>
  </si>
  <si>
    <t>Total 512 Trays</t>
  </si>
  <si>
    <t>Total 128 Trays</t>
  </si>
  <si>
    <t>Total Output Units</t>
  </si>
  <si>
    <t>Lookup / Guidance</t>
  </si>
  <si>
    <t>Cells</t>
  </si>
  <si>
    <t>Meaning</t>
  </si>
  <si>
    <t>Priority Method</t>
  </si>
  <si>
    <t>6-pack</t>
  </si>
  <si>
    <t>Sow first / highest priority</t>
  </si>
  <si>
    <t>4-pack</t>
  </si>
  <si>
    <t>Sow second</t>
  </si>
  <si>
    <t>2 plants per pot</t>
  </si>
  <si>
    <t>Sow third</t>
  </si>
  <si>
    <t>1 plant per pot</t>
  </si>
  <si>
    <t>A/B/C</t>
  </si>
  <si>
    <t>Less useful for exact daily order</t>
  </si>
  <si>
    <t>Blank</t>
  </si>
  <si>
    <t>No priority assigned yet</t>
  </si>
  <si>
    <t>How to Use the Weekly Sowing Planner</t>
  </si>
  <si>
    <t>Step</t>
  </si>
  <si>
    <t>What to do</t>
  </si>
  <si>
    <t>Where</t>
  </si>
  <si>
    <t>Enter the current production week number, default growth %, and default sales growth % at the top of the Inputs sheet.</t>
  </si>
  <si>
    <t>Inputs B2:B4</t>
  </si>
  <si>
    <t>List crops in the order easiest for pulling seed, e.g. alphabetical if preferred.</t>
  </si>
  <si>
    <t>Inputs Crop Name</t>
  </si>
  <si>
    <t>Enter a Sow Priority number where 1 is planted first, 2 second, etc. This gives the sowing team a planting order without changing the seed-pulling order.</t>
  </si>
  <si>
    <t>Inputs column C</t>
  </si>
  <si>
    <t>Enter the base forecast output units from last year/seasonal data. The sales growth % automatically adjusts it.</t>
  </si>
  <si>
    <t>Inputs column H</t>
  </si>
  <si>
    <t>Enter Grow Weeks, Grow Tray, Output Divisor, and Growth % if different from default.</t>
  </si>
  <si>
    <t>Inputs columns E, G, K, L</t>
  </si>
  <si>
    <t>Use the Weekly Plan sheet for the sowing output. Sort/filter by Sow Priority when deciding what gets planted first.</t>
  </si>
  <si>
    <t>Weekly Plan</t>
  </si>
  <si>
    <t>If current sales are 5% higher than last year, enter 5% in Default Sales Growth %. If sales are down 5%, enter -5%.</t>
  </si>
  <si>
    <t>Inputs B4</t>
  </si>
  <si>
    <t>Estimated Germ %</t>
  </si>
  <si>
    <t>Default Germination %</t>
  </si>
  <si>
    <t xml:space="preserve">AT Nursery Weekly Sowing Planner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</si>
</sst>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6"/>
      <color rgb="FF1F4E78"/>
      <name val="Carlito"/>
    </font>
    <font>
      <b/>
      <sz val="11"/>
      <color rgb="FF1F1F1F"/>
      <name val="Carlito"/>
    </font>
    <font>
      <b/>
      <sz val="11"/>
      <name val="Carlito"/>
    </font>
    <font>
      <b/>
      <sz val="10"/>
      <color rgb="FF1F1F1F"/>
      <name val="Calibri"/>
    </font>
    <font>
      <sz val="10"/>
      <color rgb="FF1F1F1F"/>
      <name val="Calibri"/>
    </font>
    <font>
      <b/>
      <sz val="14"/>
      <color rgb="FF1F4E78"/>
      <name val="Calibri"/>
    </font>
    <font>
      <i/>
      <sz val="10"/>
      <color rgb="FF375623"/>
      <name val="Calibri"/>
    </font>
    <font>
      <b/>
      <sz val="10"/>
      <color rgb="FFFFFFFF"/>
      <name val="Calibri"/>
    </font>
    <font>
      <b/>
      <sz val="10"/>
      <color rgb="FFFFFFFF"/>
      <name val="Calibri"/>
      <family val="2"/>
    </font>
    <font>
      <b/>
      <sz val="10"/>
      <color rgb="FF1F1F1F"/>
      <name val="Calibri"/>
      <family val="2"/>
    </font>
    <font>
      <b/>
      <sz val="14"/>
      <color rgb="FF1F4E7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1" fillId="0" borderId="0" xfId="0" applyFont="1"/>
    <xf numFmtId="0" fontId="5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1" fontId="4" fillId="3" borderId="3" xfId="0" applyNumberFormat="1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left" vertical="center" wrapText="1"/>
    </xf>
    <xf numFmtId="9" fontId="4" fillId="3" borderId="3" xfId="0" applyNumberFormat="1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9" fontId="5" fillId="3" borderId="3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2" fillId="0" borderId="3" xfId="0" applyFont="1" applyBorder="1"/>
    <xf numFmtId="0" fontId="0" fillId="0" borderId="3" xfId="0" applyBorder="1"/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9" fontId="5" fillId="4" borderId="3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9" fontId="0" fillId="0" borderId="3" xfId="0" applyNumberFormat="1" applyBorder="1"/>
    <xf numFmtId="0" fontId="11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"/>
  <sheetViews>
    <sheetView tabSelected="1" workbookViewId="0">
      <selection activeCell="A2" sqref="A2"/>
    </sheetView>
  </sheetViews>
  <sheetFormatPr defaultRowHeight="14"/>
  <cols>
    <col min="1" max="1" width="41.58203125" customWidth="1"/>
    <col min="2" max="2" width="24" customWidth="1"/>
    <col min="3" max="3" width="14" customWidth="1"/>
    <col min="4" max="4" width="12" customWidth="1"/>
    <col min="5" max="5" width="10" customWidth="1"/>
    <col min="6" max="6" width="13" customWidth="1"/>
    <col min="7" max="7" width="10" customWidth="1"/>
    <col min="8" max="8" width="18" customWidth="1"/>
    <col min="9" max="9" width="13" customWidth="1"/>
    <col min="10" max="10" width="17" customWidth="1"/>
    <col min="11" max="11" width="12" customWidth="1"/>
    <col min="12" max="12" width="14" customWidth="1"/>
    <col min="13" max="13" width="18" customWidth="1"/>
    <col min="14" max="14" width="16" customWidth="1"/>
    <col min="15" max="15" width="17" customWidth="1"/>
    <col min="16" max="16" width="22.6640625" customWidth="1"/>
    <col min="17" max="17" width="22.08203125" customWidth="1"/>
    <col min="18" max="18" width="31.08203125" customWidth="1"/>
    <col min="19" max="20" width="15" customWidth="1"/>
    <col min="21" max="21" width="22" customWidth="1"/>
  </cols>
  <sheetData>
    <row r="1" spans="1:21" ht="47.5" customHeight="1">
      <c r="A1" s="34" t="s">
        <v>77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7"/>
      <c r="P1" s="2"/>
      <c r="Q1" s="2"/>
      <c r="R1" s="2"/>
      <c r="S1" s="2"/>
      <c r="T1" s="2"/>
      <c r="U1" s="2"/>
    </row>
    <row r="2" spans="1:21" ht="18" customHeight="1">
      <c r="A2" s="10" t="s">
        <v>0</v>
      </c>
      <c r="B2" s="11">
        <v>7</v>
      </c>
      <c r="C2" s="12"/>
      <c r="D2" s="13"/>
      <c r="E2" s="14"/>
      <c r="F2" s="12"/>
      <c r="G2" s="12"/>
      <c r="H2" s="12"/>
      <c r="I2" s="12"/>
      <c r="J2" s="12"/>
      <c r="K2" s="12"/>
      <c r="L2" s="12"/>
      <c r="M2" s="12"/>
      <c r="N2" s="12"/>
      <c r="O2" s="8"/>
    </row>
    <row r="3" spans="1:21">
      <c r="A3" s="15" t="s">
        <v>76</v>
      </c>
      <c r="B3" s="16">
        <v>0.9</v>
      </c>
      <c r="C3" s="12"/>
      <c r="D3" s="13"/>
      <c r="E3" s="14"/>
      <c r="F3" s="12"/>
      <c r="G3" s="12"/>
      <c r="H3" s="12"/>
      <c r="I3" s="12"/>
      <c r="J3" s="12"/>
      <c r="K3" s="12"/>
      <c r="L3" s="12"/>
      <c r="M3" s="12"/>
      <c r="N3" s="12"/>
      <c r="O3" s="26"/>
    </row>
    <row r="4" spans="1:21" ht="15" customHeight="1">
      <c r="A4" s="10" t="s">
        <v>1</v>
      </c>
      <c r="B4" s="16">
        <v>0.05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5" spans="1:21">
      <c r="A5" s="10" t="s">
        <v>2</v>
      </c>
      <c r="B5" s="11">
        <v>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2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</row>
    <row r="7" spans="1:2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"/>
      <c r="Q7" s="1"/>
      <c r="R7" s="1"/>
      <c r="S7" s="1"/>
      <c r="T7" s="1"/>
      <c r="U7" s="1"/>
    </row>
    <row r="8" spans="1:21" ht="42" customHeight="1">
      <c r="A8" s="18" t="s">
        <v>3</v>
      </c>
      <c r="B8" s="18" t="s">
        <v>4</v>
      </c>
      <c r="C8" s="18" t="s">
        <v>5</v>
      </c>
      <c r="D8" s="18" t="s">
        <v>6</v>
      </c>
      <c r="E8" s="18" t="s">
        <v>7</v>
      </c>
      <c r="F8" s="18" t="s">
        <v>8</v>
      </c>
      <c r="G8" s="18" t="s">
        <v>9</v>
      </c>
      <c r="H8" s="18" t="s">
        <v>10</v>
      </c>
      <c r="I8" s="18" t="s">
        <v>11</v>
      </c>
      <c r="J8" s="18" t="s">
        <v>12</v>
      </c>
      <c r="K8" s="18" t="s">
        <v>13</v>
      </c>
      <c r="L8" s="19" t="s">
        <v>75</v>
      </c>
      <c r="M8" s="18" t="s">
        <v>14</v>
      </c>
      <c r="N8" s="18" t="s">
        <v>15</v>
      </c>
      <c r="O8" s="18" t="s">
        <v>16</v>
      </c>
      <c r="P8" s="27" t="s">
        <v>17</v>
      </c>
      <c r="Q8" s="27" t="s">
        <v>18</v>
      </c>
      <c r="R8" s="27" t="s">
        <v>19</v>
      </c>
      <c r="S8" s="27" t="s">
        <v>20</v>
      </c>
      <c r="T8" s="27" t="s">
        <v>21</v>
      </c>
      <c r="U8" s="27" t="s">
        <v>22</v>
      </c>
    </row>
    <row r="9" spans="1:21" ht="20" customHeight="1">
      <c r="A9" s="20">
        <v>1</v>
      </c>
      <c r="B9" s="21" t="s">
        <v>23</v>
      </c>
      <c r="C9" s="22">
        <v>1</v>
      </c>
      <c r="D9" s="23">
        <f t="shared" ref="D9:D40" si="0">IF(B9&lt;&gt;"",$B$2,"")</f>
        <v>7</v>
      </c>
      <c r="E9" s="23">
        <v>7</v>
      </c>
      <c r="F9" s="24">
        <f t="shared" ref="F9:F40" si="1">IF(AND(D9&lt;&gt;"",E9&lt;&gt;""),D9+E9,"")</f>
        <v>14</v>
      </c>
      <c r="G9" s="23">
        <v>595</v>
      </c>
      <c r="H9" s="23">
        <v>950</v>
      </c>
      <c r="I9" s="25">
        <f t="shared" ref="I9:I40" si="2">IF(H9&lt;&gt;"",$B$4,"")</f>
        <v>0.05</v>
      </c>
      <c r="J9" s="24">
        <f t="shared" ref="J9:J40" si="3">IF(H9&lt;&gt;"",ROUNDUP(H9*(1+I9),0),"")</f>
        <v>998</v>
      </c>
      <c r="K9" s="23">
        <v>6</v>
      </c>
      <c r="L9" s="25">
        <f t="shared" ref="L9:L40" si="4">IF(B9&lt;&gt;"",$B$3,"")</f>
        <v>0.9</v>
      </c>
      <c r="M9" s="24">
        <f t="shared" ref="M9:M40" si="5">IF(AND(J9&lt;&gt;"",K9&lt;&gt;"",L9&gt;0),ROUNDUP((J9*K9)/L9,0),"")</f>
        <v>6654</v>
      </c>
      <c r="N9" s="24">
        <f t="shared" ref="N9:N40" si="6">IF(AND(M9&lt;&gt;"",G9&gt;0),ROUNDUP(M9/G9,0),"")</f>
        <v>12</v>
      </c>
      <c r="O9" s="24">
        <f t="shared" ref="O9:O40" si="7">IF(AND(N9&lt;&gt;"",G9&gt;0),N9*G9,"")</f>
        <v>7140</v>
      </c>
      <c r="P9" s="28">
        <f t="shared" ref="P9:P40" si="8">IF(AND(O9&lt;&gt;"",L9&lt;&gt;""),ROUND(O9*L9,0),"")</f>
        <v>6426</v>
      </c>
      <c r="Q9" s="28">
        <f t="shared" ref="Q9:Q40" si="9">IF(AND(P9&lt;&gt;"",K9&gt;0),ROUNDDOWN(P9/K9,0),"")</f>
        <v>1071</v>
      </c>
      <c r="R9" s="28">
        <f t="shared" ref="R9:R40" si="10">IF(AND(Q9&lt;&gt;"",J9&lt;&gt;""),Q9-J9,"")</f>
        <v>73</v>
      </c>
      <c r="S9" s="28" t="str">
        <f t="shared" ref="S9:S40" si="11">IF(G9&lt;&gt;"",G9&amp;" tray","")</f>
        <v>595 tray</v>
      </c>
      <c r="T9" s="28" t="str">
        <f t="shared" ref="T9:T40" si="12">IF(M9&gt;0,"YES","")</f>
        <v>YES</v>
      </c>
      <c r="U9" s="28" t="s">
        <v>24</v>
      </c>
    </row>
    <row r="10" spans="1:21" ht="20" customHeight="1">
      <c r="A10" s="20">
        <v>2</v>
      </c>
      <c r="B10" s="21" t="s">
        <v>25</v>
      </c>
      <c r="C10" s="22">
        <v>2</v>
      </c>
      <c r="D10" s="23">
        <f t="shared" si="0"/>
        <v>7</v>
      </c>
      <c r="E10" s="23">
        <v>6</v>
      </c>
      <c r="F10" s="24">
        <f t="shared" si="1"/>
        <v>13</v>
      </c>
      <c r="G10" s="23">
        <v>595</v>
      </c>
      <c r="H10" s="23">
        <v>1200</v>
      </c>
      <c r="I10" s="25">
        <f t="shared" si="2"/>
        <v>0.05</v>
      </c>
      <c r="J10" s="24">
        <f t="shared" si="3"/>
        <v>1260</v>
      </c>
      <c r="K10" s="23">
        <v>6</v>
      </c>
      <c r="L10" s="25">
        <f t="shared" si="4"/>
        <v>0.9</v>
      </c>
      <c r="M10" s="24">
        <f t="shared" si="5"/>
        <v>8400</v>
      </c>
      <c r="N10" s="24">
        <f t="shared" si="6"/>
        <v>15</v>
      </c>
      <c r="O10" s="24">
        <f t="shared" si="7"/>
        <v>8925</v>
      </c>
      <c r="P10" s="28">
        <f t="shared" si="8"/>
        <v>8033</v>
      </c>
      <c r="Q10" s="28">
        <f t="shared" si="9"/>
        <v>1338</v>
      </c>
      <c r="R10" s="28">
        <f t="shared" si="10"/>
        <v>78</v>
      </c>
      <c r="S10" s="28" t="str">
        <f t="shared" si="11"/>
        <v>595 tray</v>
      </c>
      <c r="T10" s="28" t="str">
        <f t="shared" si="12"/>
        <v>YES</v>
      </c>
      <c r="U10" s="28" t="s">
        <v>24</v>
      </c>
    </row>
    <row r="11" spans="1:21" ht="20" customHeight="1">
      <c r="A11" s="20">
        <v>3</v>
      </c>
      <c r="B11" s="21" t="s">
        <v>26</v>
      </c>
      <c r="C11" s="22">
        <v>3</v>
      </c>
      <c r="D11" s="23">
        <f t="shared" si="0"/>
        <v>7</v>
      </c>
      <c r="E11" s="23">
        <v>5</v>
      </c>
      <c r="F11" s="24">
        <f t="shared" si="1"/>
        <v>12</v>
      </c>
      <c r="G11" s="23">
        <v>595</v>
      </c>
      <c r="H11" s="23">
        <v>800</v>
      </c>
      <c r="I11" s="25">
        <f t="shared" si="2"/>
        <v>0.05</v>
      </c>
      <c r="J11" s="24">
        <f t="shared" si="3"/>
        <v>840</v>
      </c>
      <c r="K11" s="23">
        <v>6</v>
      </c>
      <c r="L11" s="25">
        <f t="shared" si="4"/>
        <v>0.9</v>
      </c>
      <c r="M11" s="24">
        <f t="shared" si="5"/>
        <v>5600</v>
      </c>
      <c r="N11" s="24">
        <f t="shared" si="6"/>
        <v>10</v>
      </c>
      <c r="O11" s="24">
        <f t="shared" si="7"/>
        <v>5950</v>
      </c>
      <c r="P11" s="28">
        <f t="shared" si="8"/>
        <v>5355</v>
      </c>
      <c r="Q11" s="28">
        <f t="shared" si="9"/>
        <v>892</v>
      </c>
      <c r="R11" s="28">
        <f t="shared" si="10"/>
        <v>52</v>
      </c>
      <c r="S11" s="28" t="str">
        <f t="shared" si="11"/>
        <v>595 tray</v>
      </c>
      <c r="T11" s="28" t="str">
        <f t="shared" si="12"/>
        <v>YES</v>
      </c>
      <c r="U11" s="28" t="s">
        <v>24</v>
      </c>
    </row>
    <row r="12" spans="1:21" ht="20" customHeight="1">
      <c r="A12" s="20">
        <v>4</v>
      </c>
      <c r="B12" s="21" t="s">
        <v>27</v>
      </c>
      <c r="C12" s="22">
        <v>4</v>
      </c>
      <c r="D12" s="23">
        <f t="shared" si="0"/>
        <v>7</v>
      </c>
      <c r="E12" s="23">
        <v>6</v>
      </c>
      <c r="F12" s="24">
        <f t="shared" si="1"/>
        <v>13</v>
      </c>
      <c r="G12" s="23">
        <v>512</v>
      </c>
      <c r="H12" s="23">
        <v>350</v>
      </c>
      <c r="I12" s="25">
        <f t="shared" si="2"/>
        <v>0.05</v>
      </c>
      <c r="J12" s="24">
        <f t="shared" si="3"/>
        <v>368</v>
      </c>
      <c r="K12" s="23">
        <v>2</v>
      </c>
      <c r="L12" s="25">
        <f t="shared" si="4"/>
        <v>0.9</v>
      </c>
      <c r="M12" s="24">
        <f t="shared" si="5"/>
        <v>818</v>
      </c>
      <c r="N12" s="24">
        <f t="shared" si="6"/>
        <v>2</v>
      </c>
      <c r="O12" s="24">
        <f t="shared" si="7"/>
        <v>1024</v>
      </c>
      <c r="P12" s="28">
        <f t="shared" si="8"/>
        <v>922</v>
      </c>
      <c r="Q12" s="28">
        <f t="shared" si="9"/>
        <v>461</v>
      </c>
      <c r="R12" s="28">
        <f t="shared" si="10"/>
        <v>93</v>
      </c>
      <c r="S12" s="28" t="str">
        <f t="shared" si="11"/>
        <v>512 tray</v>
      </c>
      <c r="T12" s="28" t="str">
        <f t="shared" si="12"/>
        <v>YES</v>
      </c>
      <c r="U12" s="28" t="s">
        <v>24</v>
      </c>
    </row>
    <row r="13" spans="1:21" ht="20" customHeight="1">
      <c r="A13" s="20">
        <v>5</v>
      </c>
      <c r="B13" s="21" t="s">
        <v>28</v>
      </c>
      <c r="C13" s="22">
        <v>5</v>
      </c>
      <c r="D13" s="23">
        <f t="shared" si="0"/>
        <v>7</v>
      </c>
      <c r="E13" s="23">
        <v>8</v>
      </c>
      <c r="F13" s="24">
        <f t="shared" si="1"/>
        <v>15</v>
      </c>
      <c r="G13" s="23">
        <v>128</v>
      </c>
      <c r="H13" s="23">
        <v>250</v>
      </c>
      <c r="I13" s="25">
        <f t="shared" si="2"/>
        <v>0.05</v>
      </c>
      <c r="J13" s="24">
        <f t="shared" si="3"/>
        <v>263</v>
      </c>
      <c r="K13" s="23">
        <v>1</v>
      </c>
      <c r="L13" s="25">
        <f t="shared" si="4"/>
        <v>0.9</v>
      </c>
      <c r="M13" s="24">
        <f t="shared" si="5"/>
        <v>293</v>
      </c>
      <c r="N13" s="24">
        <f t="shared" si="6"/>
        <v>3</v>
      </c>
      <c r="O13" s="24">
        <f t="shared" si="7"/>
        <v>384</v>
      </c>
      <c r="P13" s="28">
        <f t="shared" si="8"/>
        <v>346</v>
      </c>
      <c r="Q13" s="28">
        <f t="shared" si="9"/>
        <v>346</v>
      </c>
      <c r="R13" s="28">
        <f t="shared" si="10"/>
        <v>83</v>
      </c>
      <c r="S13" s="28" t="str">
        <f t="shared" si="11"/>
        <v>128 tray</v>
      </c>
      <c r="T13" s="28" t="str">
        <f t="shared" si="12"/>
        <v>YES</v>
      </c>
      <c r="U13" s="28" t="s">
        <v>24</v>
      </c>
    </row>
    <row r="14" spans="1:21" ht="20" customHeight="1">
      <c r="A14" s="20">
        <v>6</v>
      </c>
      <c r="B14" s="21"/>
      <c r="C14" s="22"/>
      <c r="D14" s="23" t="str">
        <f t="shared" si="0"/>
        <v/>
      </c>
      <c r="E14" s="23"/>
      <c r="F14" s="24" t="str">
        <f t="shared" si="1"/>
        <v/>
      </c>
      <c r="G14" s="23">
        <v>595</v>
      </c>
      <c r="H14" s="23"/>
      <c r="I14" s="25" t="str">
        <f t="shared" si="2"/>
        <v/>
      </c>
      <c r="J14" s="24" t="str">
        <f t="shared" si="3"/>
        <v/>
      </c>
      <c r="K14" s="23">
        <v>6</v>
      </c>
      <c r="L14" s="25" t="str">
        <f t="shared" si="4"/>
        <v/>
      </c>
      <c r="M14" s="24" t="str">
        <f t="shared" si="5"/>
        <v/>
      </c>
      <c r="N14" s="24" t="str">
        <f t="shared" si="6"/>
        <v/>
      </c>
      <c r="O14" s="24" t="str">
        <f t="shared" si="7"/>
        <v/>
      </c>
      <c r="P14" s="28" t="str">
        <f t="shared" si="8"/>
        <v/>
      </c>
      <c r="Q14" s="28" t="str">
        <f t="shared" si="9"/>
        <v/>
      </c>
      <c r="R14" s="28" t="str">
        <f t="shared" si="10"/>
        <v/>
      </c>
      <c r="S14" s="28" t="str">
        <f t="shared" si="11"/>
        <v>595 tray</v>
      </c>
      <c r="T14" s="28" t="str">
        <f t="shared" si="12"/>
        <v>YES</v>
      </c>
      <c r="U14" s="28"/>
    </row>
    <row r="15" spans="1:21" ht="20" customHeight="1">
      <c r="A15" s="20">
        <v>7</v>
      </c>
      <c r="B15" s="21"/>
      <c r="C15" s="22"/>
      <c r="D15" s="23" t="str">
        <f t="shared" si="0"/>
        <v/>
      </c>
      <c r="E15" s="23"/>
      <c r="F15" s="24" t="str">
        <f t="shared" si="1"/>
        <v/>
      </c>
      <c r="G15" s="23">
        <v>595</v>
      </c>
      <c r="H15" s="23"/>
      <c r="I15" s="25" t="str">
        <f t="shared" si="2"/>
        <v/>
      </c>
      <c r="J15" s="24" t="str">
        <f t="shared" si="3"/>
        <v/>
      </c>
      <c r="K15" s="23">
        <v>6</v>
      </c>
      <c r="L15" s="25" t="str">
        <f t="shared" si="4"/>
        <v/>
      </c>
      <c r="M15" s="24" t="str">
        <f t="shared" si="5"/>
        <v/>
      </c>
      <c r="N15" s="24" t="str">
        <f t="shared" si="6"/>
        <v/>
      </c>
      <c r="O15" s="24" t="str">
        <f t="shared" si="7"/>
        <v/>
      </c>
      <c r="P15" s="28" t="str">
        <f t="shared" si="8"/>
        <v/>
      </c>
      <c r="Q15" s="28" t="str">
        <f t="shared" si="9"/>
        <v/>
      </c>
      <c r="R15" s="28" t="str">
        <f t="shared" si="10"/>
        <v/>
      </c>
      <c r="S15" s="28" t="str">
        <f t="shared" si="11"/>
        <v>595 tray</v>
      </c>
      <c r="T15" s="28" t="str">
        <f t="shared" si="12"/>
        <v>YES</v>
      </c>
      <c r="U15" s="28"/>
    </row>
    <row r="16" spans="1:21" ht="20" customHeight="1">
      <c r="A16" s="20">
        <v>8</v>
      </c>
      <c r="B16" s="21"/>
      <c r="C16" s="22"/>
      <c r="D16" s="23" t="str">
        <f t="shared" si="0"/>
        <v/>
      </c>
      <c r="E16" s="23"/>
      <c r="F16" s="24" t="str">
        <f t="shared" si="1"/>
        <v/>
      </c>
      <c r="G16" s="23">
        <v>595</v>
      </c>
      <c r="H16" s="23"/>
      <c r="I16" s="25" t="str">
        <f t="shared" si="2"/>
        <v/>
      </c>
      <c r="J16" s="24" t="str">
        <f t="shared" si="3"/>
        <v/>
      </c>
      <c r="K16" s="23">
        <v>6</v>
      </c>
      <c r="L16" s="25" t="str">
        <f t="shared" si="4"/>
        <v/>
      </c>
      <c r="M16" s="24" t="str">
        <f t="shared" si="5"/>
        <v/>
      </c>
      <c r="N16" s="24" t="str">
        <f t="shared" si="6"/>
        <v/>
      </c>
      <c r="O16" s="24" t="str">
        <f t="shared" si="7"/>
        <v/>
      </c>
      <c r="P16" s="28" t="str">
        <f t="shared" si="8"/>
        <v/>
      </c>
      <c r="Q16" s="28" t="str">
        <f t="shared" si="9"/>
        <v/>
      </c>
      <c r="R16" s="28" t="str">
        <f t="shared" si="10"/>
        <v/>
      </c>
      <c r="S16" s="28" t="str">
        <f t="shared" si="11"/>
        <v>595 tray</v>
      </c>
      <c r="T16" s="28" t="str">
        <f t="shared" si="12"/>
        <v>YES</v>
      </c>
      <c r="U16" s="28"/>
    </row>
    <row r="17" spans="1:21" ht="20" customHeight="1">
      <c r="A17" s="20">
        <v>9</v>
      </c>
      <c r="B17" s="21"/>
      <c r="C17" s="22"/>
      <c r="D17" s="23" t="str">
        <f t="shared" si="0"/>
        <v/>
      </c>
      <c r="E17" s="23"/>
      <c r="F17" s="24" t="str">
        <f t="shared" si="1"/>
        <v/>
      </c>
      <c r="G17" s="23">
        <v>595</v>
      </c>
      <c r="H17" s="23"/>
      <c r="I17" s="25" t="str">
        <f t="shared" si="2"/>
        <v/>
      </c>
      <c r="J17" s="24" t="str">
        <f t="shared" si="3"/>
        <v/>
      </c>
      <c r="K17" s="23">
        <v>6</v>
      </c>
      <c r="L17" s="25" t="str">
        <f t="shared" si="4"/>
        <v/>
      </c>
      <c r="M17" s="24" t="str">
        <f t="shared" si="5"/>
        <v/>
      </c>
      <c r="N17" s="24" t="str">
        <f t="shared" si="6"/>
        <v/>
      </c>
      <c r="O17" s="24" t="str">
        <f t="shared" si="7"/>
        <v/>
      </c>
      <c r="P17" s="28" t="str">
        <f t="shared" si="8"/>
        <v/>
      </c>
      <c r="Q17" s="28" t="str">
        <f t="shared" si="9"/>
        <v/>
      </c>
      <c r="R17" s="28" t="str">
        <f t="shared" si="10"/>
        <v/>
      </c>
      <c r="S17" s="28" t="str">
        <f t="shared" si="11"/>
        <v>595 tray</v>
      </c>
      <c r="T17" s="28" t="str">
        <f t="shared" si="12"/>
        <v>YES</v>
      </c>
      <c r="U17" s="28"/>
    </row>
    <row r="18" spans="1:21" ht="20" customHeight="1">
      <c r="A18" s="20">
        <v>10</v>
      </c>
      <c r="B18" s="21"/>
      <c r="C18" s="22"/>
      <c r="D18" s="23" t="str">
        <f t="shared" si="0"/>
        <v/>
      </c>
      <c r="E18" s="23"/>
      <c r="F18" s="24" t="str">
        <f t="shared" si="1"/>
        <v/>
      </c>
      <c r="G18" s="23">
        <v>595</v>
      </c>
      <c r="H18" s="23"/>
      <c r="I18" s="25" t="str">
        <f t="shared" si="2"/>
        <v/>
      </c>
      <c r="J18" s="24" t="str">
        <f t="shared" si="3"/>
        <v/>
      </c>
      <c r="K18" s="23">
        <v>6</v>
      </c>
      <c r="L18" s="25" t="str">
        <f t="shared" si="4"/>
        <v/>
      </c>
      <c r="M18" s="24" t="str">
        <f t="shared" si="5"/>
        <v/>
      </c>
      <c r="N18" s="24" t="str">
        <f t="shared" si="6"/>
        <v/>
      </c>
      <c r="O18" s="24" t="str">
        <f t="shared" si="7"/>
        <v/>
      </c>
      <c r="P18" s="28" t="str">
        <f t="shared" si="8"/>
        <v/>
      </c>
      <c r="Q18" s="28" t="str">
        <f t="shared" si="9"/>
        <v/>
      </c>
      <c r="R18" s="28" t="str">
        <f t="shared" si="10"/>
        <v/>
      </c>
      <c r="S18" s="28" t="str">
        <f t="shared" si="11"/>
        <v>595 tray</v>
      </c>
      <c r="T18" s="28" t="str">
        <f t="shared" si="12"/>
        <v>YES</v>
      </c>
      <c r="U18" s="28"/>
    </row>
    <row r="19" spans="1:21" ht="20" customHeight="1">
      <c r="A19" s="20">
        <v>11</v>
      </c>
      <c r="B19" s="21"/>
      <c r="C19" s="22"/>
      <c r="D19" s="23" t="str">
        <f t="shared" si="0"/>
        <v/>
      </c>
      <c r="E19" s="23"/>
      <c r="F19" s="24" t="str">
        <f t="shared" si="1"/>
        <v/>
      </c>
      <c r="G19" s="23">
        <v>595</v>
      </c>
      <c r="H19" s="23"/>
      <c r="I19" s="25" t="str">
        <f t="shared" si="2"/>
        <v/>
      </c>
      <c r="J19" s="24" t="str">
        <f t="shared" si="3"/>
        <v/>
      </c>
      <c r="K19" s="23">
        <v>6</v>
      </c>
      <c r="L19" s="25" t="str">
        <f t="shared" si="4"/>
        <v/>
      </c>
      <c r="M19" s="24" t="str">
        <f t="shared" si="5"/>
        <v/>
      </c>
      <c r="N19" s="24" t="str">
        <f t="shared" si="6"/>
        <v/>
      </c>
      <c r="O19" s="24" t="str">
        <f t="shared" si="7"/>
        <v/>
      </c>
      <c r="P19" s="28" t="str">
        <f t="shared" si="8"/>
        <v/>
      </c>
      <c r="Q19" s="28" t="str">
        <f t="shared" si="9"/>
        <v/>
      </c>
      <c r="R19" s="28" t="str">
        <f t="shared" si="10"/>
        <v/>
      </c>
      <c r="S19" s="28" t="str">
        <f t="shared" si="11"/>
        <v>595 tray</v>
      </c>
      <c r="T19" s="28" t="str">
        <f t="shared" si="12"/>
        <v>YES</v>
      </c>
      <c r="U19" s="28"/>
    </row>
    <row r="20" spans="1:21" ht="20" customHeight="1">
      <c r="A20" s="20">
        <v>12</v>
      </c>
      <c r="B20" s="21"/>
      <c r="C20" s="22"/>
      <c r="D20" s="23" t="str">
        <f t="shared" si="0"/>
        <v/>
      </c>
      <c r="E20" s="23"/>
      <c r="F20" s="24" t="str">
        <f t="shared" si="1"/>
        <v/>
      </c>
      <c r="G20" s="23">
        <v>595</v>
      </c>
      <c r="H20" s="23"/>
      <c r="I20" s="25" t="str">
        <f t="shared" si="2"/>
        <v/>
      </c>
      <c r="J20" s="24" t="str">
        <f t="shared" si="3"/>
        <v/>
      </c>
      <c r="K20" s="23">
        <v>6</v>
      </c>
      <c r="L20" s="25" t="str">
        <f t="shared" si="4"/>
        <v/>
      </c>
      <c r="M20" s="24" t="str">
        <f t="shared" si="5"/>
        <v/>
      </c>
      <c r="N20" s="24" t="str">
        <f t="shared" si="6"/>
        <v/>
      </c>
      <c r="O20" s="24" t="str">
        <f t="shared" si="7"/>
        <v/>
      </c>
      <c r="P20" s="28" t="str">
        <f t="shared" si="8"/>
        <v/>
      </c>
      <c r="Q20" s="28" t="str">
        <f t="shared" si="9"/>
        <v/>
      </c>
      <c r="R20" s="28" t="str">
        <f t="shared" si="10"/>
        <v/>
      </c>
      <c r="S20" s="28" t="str">
        <f t="shared" si="11"/>
        <v>595 tray</v>
      </c>
      <c r="T20" s="28" t="str">
        <f t="shared" si="12"/>
        <v>YES</v>
      </c>
      <c r="U20" s="28"/>
    </row>
    <row r="21" spans="1:21" ht="20" customHeight="1">
      <c r="A21" s="20">
        <v>13</v>
      </c>
      <c r="B21" s="21"/>
      <c r="C21" s="22"/>
      <c r="D21" s="23" t="str">
        <f t="shared" si="0"/>
        <v/>
      </c>
      <c r="E21" s="23"/>
      <c r="F21" s="24" t="str">
        <f t="shared" si="1"/>
        <v/>
      </c>
      <c r="G21" s="23">
        <v>595</v>
      </c>
      <c r="H21" s="23"/>
      <c r="I21" s="25" t="str">
        <f t="shared" si="2"/>
        <v/>
      </c>
      <c r="J21" s="24" t="str">
        <f t="shared" si="3"/>
        <v/>
      </c>
      <c r="K21" s="23">
        <v>6</v>
      </c>
      <c r="L21" s="25" t="str">
        <f t="shared" si="4"/>
        <v/>
      </c>
      <c r="M21" s="24" t="str">
        <f t="shared" si="5"/>
        <v/>
      </c>
      <c r="N21" s="24" t="str">
        <f t="shared" si="6"/>
        <v/>
      </c>
      <c r="O21" s="24" t="str">
        <f t="shared" si="7"/>
        <v/>
      </c>
      <c r="P21" s="28" t="str">
        <f t="shared" si="8"/>
        <v/>
      </c>
      <c r="Q21" s="28" t="str">
        <f t="shared" si="9"/>
        <v/>
      </c>
      <c r="R21" s="28" t="str">
        <f t="shared" si="10"/>
        <v/>
      </c>
      <c r="S21" s="28" t="str">
        <f t="shared" si="11"/>
        <v>595 tray</v>
      </c>
      <c r="T21" s="28" t="str">
        <f t="shared" si="12"/>
        <v>YES</v>
      </c>
      <c r="U21" s="28"/>
    </row>
    <row r="22" spans="1:21" ht="20" customHeight="1">
      <c r="A22" s="20">
        <v>14</v>
      </c>
      <c r="B22" s="21"/>
      <c r="C22" s="22"/>
      <c r="D22" s="23" t="str">
        <f t="shared" si="0"/>
        <v/>
      </c>
      <c r="E22" s="23"/>
      <c r="F22" s="24" t="str">
        <f t="shared" si="1"/>
        <v/>
      </c>
      <c r="G22" s="23">
        <v>595</v>
      </c>
      <c r="H22" s="23"/>
      <c r="I22" s="25" t="str">
        <f t="shared" si="2"/>
        <v/>
      </c>
      <c r="J22" s="24" t="str">
        <f t="shared" si="3"/>
        <v/>
      </c>
      <c r="K22" s="23">
        <v>6</v>
      </c>
      <c r="L22" s="25" t="str">
        <f t="shared" si="4"/>
        <v/>
      </c>
      <c r="M22" s="24" t="str">
        <f t="shared" si="5"/>
        <v/>
      </c>
      <c r="N22" s="24" t="str">
        <f t="shared" si="6"/>
        <v/>
      </c>
      <c r="O22" s="24" t="str">
        <f t="shared" si="7"/>
        <v/>
      </c>
      <c r="P22" s="28" t="str">
        <f t="shared" si="8"/>
        <v/>
      </c>
      <c r="Q22" s="28" t="str">
        <f t="shared" si="9"/>
        <v/>
      </c>
      <c r="R22" s="28" t="str">
        <f t="shared" si="10"/>
        <v/>
      </c>
      <c r="S22" s="28" t="str">
        <f t="shared" si="11"/>
        <v>595 tray</v>
      </c>
      <c r="T22" s="28" t="str">
        <f t="shared" si="12"/>
        <v>YES</v>
      </c>
      <c r="U22" s="28"/>
    </row>
    <row r="23" spans="1:21" ht="20" customHeight="1">
      <c r="A23" s="20">
        <v>15</v>
      </c>
      <c r="B23" s="21"/>
      <c r="C23" s="22"/>
      <c r="D23" s="23" t="str">
        <f t="shared" si="0"/>
        <v/>
      </c>
      <c r="E23" s="23"/>
      <c r="F23" s="24" t="str">
        <f t="shared" si="1"/>
        <v/>
      </c>
      <c r="G23" s="23">
        <v>595</v>
      </c>
      <c r="H23" s="23"/>
      <c r="I23" s="25" t="str">
        <f t="shared" si="2"/>
        <v/>
      </c>
      <c r="J23" s="24" t="str">
        <f t="shared" si="3"/>
        <v/>
      </c>
      <c r="K23" s="23">
        <v>6</v>
      </c>
      <c r="L23" s="25" t="str">
        <f t="shared" si="4"/>
        <v/>
      </c>
      <c r="M23" s="24" t="str">
        <f t="shared" si="5"/>
        <v/>
      </c>
      <c r="N23" s="24" t="str">
        <f t="shared" si="6"/>
        <v/>
      </c>
      <c r="O23" s="24" t="str">
        <f t="shared" si="7"/>
        <v/>
      </c>
      <c r="P23" s="28" t="str">
        <f t="shared" si="8"/>
        <v/>
      </c>
      <c r="Q23" s="28" t="str">
        <f t="shared" si="9"/>
        <v/>
      </c>
      <c r="R23" s="28" t="str">
        <f t="shared" si="10"/>
        <v/>
      </c>
      <c r="S23" s="28" t="str">
        <f t="shared" si="11"/>
        <v>595 tray</v>
      </c>
      <c r="T23" s="28" t="str">
        <f t="shared" si="12"/>
        <v>YES</v>
      </c>
      <c r="U23" s="28"/>
    </row>
    <row r="24" spans="1:21" ht="20" customHeight="1">
      <c r="A24" s="20">
        <v>16</v>
      </c>
      <c r="B24" s="21"/>
      <c r="C24" s="22"/>
      <c r="D24" s="23" t="str">
        <f t="shared" si="0"/>
        <v/>
      </c>
      <c r="E24" s="23"/>
      <c r="F24" s="24" t="str">
        <f t="shared" si="1"/>
        <v/>
      </c>
      <c r="G24" s="23">
        <v>595</v>
      </c>
      <c r="H24" s="23"/>
      <c r="I24" s="25" t="str">
        <f t="shared" si="2"/>
        <v/>
      </c>
      <c r="J24" s="24" t="str">
        <f t="shared" si="3"/>
        <v/>
      </c>
      <c r="K24" s="23">
        <v>6</v>
      </c>
      <c r="L24" s="25" t="str">
        <f t="shared" si="4"/>
        <v/>
      </c>
      <c r="M24" s="24" t="str">
        <f t="shared" si="5"/>
        <v/>
      </c>
      <c r="N24" s="24" t="str">
        <f t="shared" si="6"/>
        <v/>
      </c>
      <c r="O24" s="24" t="str">
        <f t="shared" si="7"/>
        <v/>
      </c>
      <c r="P24" s="28" t="str">
        <f t="shared" si="8"/>
        <v/>
      </c>
      <c r="Q24" s="28" t="str">
        <f t="shared" si="9"/>
        <v/>
      </c>
      <c r="R24" s="28" t="str">
        <f t="shared" si="10"/>
        <v/>
      </c>
      <c r="S24" s="28" t="str">
        <f t="shared" si="11"/>
        <v>595 tray</v>
      </c>
      <c r="T24" s="28" t="str">
        <f t="shared" si="12"/>
        <v>YES</v>
      </c>
      <c r="U24" s="28"/>
    </row>
    <row r="25" spans="1:21" ht="20" customHeight="1">
      <c r="A25" s="20">
        <v>17</v>
      </c>
      <c r="B25" s="21"/>
      <c r="C25" s="22"/>
      <c r="D25" s="23" t="str">
        <f t="shared" si="0"/>
        <v/>
      </c>
      <c r="E25" s="23"/>
      <c r="F25" s="24" t="str">
        <f t="shared" si="1"/>
        <v/>
      </c>
      <c r="G25" s="23">
        <v>595</v>
      </c>
      <c r="H25" s="23"/>
      <c r="I25" s="25" t="str">
        <f t="shared" si="2"/>
        <v/>
      </c>
      <c r="J25" s="24" t="str">
        <f t="shared" si="3"/>
        <v/>
      </c>
      <c r="K25" s="23">
        <v>6</v>
      </c>
      <c r="L25" s="25" t="str">
        <f t="shared" si="4"/>
        <v/>
      </c>
      <c r="M25" s="24" t="str">
        <f t="shared" si="5"/>
        <v/>
      </c>
      <c r="N25" s="24" t="str">
        <f t="shared" si="6"/>
        <v/>
      </c>
      <c r="O25" s="24" t="str">
        <f t="shared" si="7"/>
        <v/>
      </c>
      <c r="P25" s="28" t="str">
        <f t="shared" si="8"/>
        <v/>
      </c>
      <c r="Q25" s="28" t="str">
        <f t="shared" si="9"/>
        <v/>
      </c>
      <c r="R25" s="28" t="str">
        <f t="shared" si="10"/>
        <v/>
      </c>
      <c r="S25" s="28" t="str">
        <f t="shared" si="11"/>
        <v>595 tray</v>
      </c>
      <c r="T25" s="28" t="str">
        <f t="shared" si="12"/>
        <v>YES</v>
      </c>
      <c r="U25" s="28"/>
    </row>
    <row r="26" spans="1:21" ht="20" customHeight="1">
      <c r="A26" s="20">
        <v>18</v>
      </c>
      <c r="B26" s="21"/>
      <c r="C26" s="22"/>
      <c r="D26" s="23" t="str">
        <f t="shared" si="0"/>
        <v/>
      </c>
      <c r="E26" s="23"/>
      <c r="F26" s="24" t="str">
        <f t="shared" si="1"/>
        <v/>
      </c>
      <c r="G26" s="23">
        <v>595</v>
      </c>
      <c r="H26" s="23"/>
      <c r="I26" s="25" t="str">
        <f t="shared" si="2"/>
        <v/>
      </c>
      <c r="J26" s="24" t="str">
        <f t="shared" si="3"/>
        <v/>
      </c>
      <c r="K26" s="23">
        <v>6</v>
      </c>
      <c r="L26" s="25" t="str">
        <f t="shared" si="4"/>
        <v/>
      </c>
      <c r="M26" s="24" t="str">
        <f t="shared" si="5"/>
        <v/>
      </c>
      <c r="N26" s="24" t="str">
        <f t="shared" si="6"/>
        <v/>
      </c>
      <c r="O26" s="24" t="str">
        <f t="shared" si="7"/>
        <v/>
      </c>
      <c r="P26" s="28" t="str">
        <f t="shared" si="8"/>
        <v/>
      </c>
      <c r="Q26" s="28" t="str">
        <f t="shared" si="9"/>
        <v/>
      </c>
      <c r="R26" s="28" t="str">
        <f t="shared" si="10"/>
        <v/>
      </c>
      <c r="S26" s="28" t="str">
        <f t="shared" si="11"/>
        <v>595 tray</v>
      </c>
      <c r="T26" s="28" t="str">
        <f t="shared" si="12"/>
        <v>YES</v>
      </c>
      <c r="U26" s="28"/>
    </row>
    <row r="27" spans="1:21" ht="20" customHeight="1">
      <c r="A27" s="20">
        <v>19</v>
      </c>
      <c r="B27" s="21"/>
      <c r="C27" s="22"/>
      <c r="D27" s="23" t="str">
        <f t="shared" si="0"/>
        <v/>
      </c>
      <c r="E27" s="23"/>
      <c r="F27" s="24" t="str">
        <f t="shared" si="1"/>
        <v/>
      </c>
      <c r="G27" s="23">
        <v>595</v>
      </c>
      <c r="H27" s="23"/>
      <c r="I27" s="25" t="str">
        <f t="shared" si="2"/>
        <v/>
      </c>
      <c r="J27" s="24" t="str">
        <f t="shared" si="3"/>
        <v/>
      </c>
      <c r="K27" s="23">
        <v>6</v>
      </c>
      <c r="L27" s="25" t="str">
        <f t="shared" si="4"/>
        <v/>
      </c>
      <c r="M27" s="24" t="str">
        <f t="shared" si="5"/>
        <v/>
      </c>
      <c r="N27" s="24" t="str">
        <f t="shared" si="6"/>
        <v/>
      </c>
      <c r="O27" s="24" t="str">
        <f t="shared" si="7"/>
        <v/>
      </c>
      <c r="P27" s="28" t="str">
        <f t="shared" si="8"/>
        <v/>
      </c>
      <c r="Q27" s="28" t="str">
        <f t="shared" si="9"/>
        <v/>
      </c>
      <c r="R27" s="28" t="str">
        <f t="shared" si="10"/>
        <v/>
      </c>
      <c r="S27" s="28" t="str">
        <f t="shared" si="11"/>
        <v>595 tray</v>
      </c>
      <c r="T27" s="28" t="str">
        <f t="shared" si="12"/>
        <v>YES</v>
      </c>
      <c r="U27" s="28"/>
    </row>
    <row r="28" spans="1:21" ht="20" customHeight="1">
      <c r="A28" s="20">
        <v>20</v>
      </c>
      <c r="B28" s="21"/>
      <c r="C28" s="22"/>
      <c r="D28" s="23" t="str">
        <f t="shared" si="0"/>
        <v/>
      </c>
      <c r="E28" s="23"/>
      <c r="F28" s="24" t="str">
        <f t="shared" si="1"/>
        <v/>
      </c>
      <c r="G28" s="23">
        <v>595</v>
      </c>
      <c r="H28" s="23"/>
      <c r="I28" s="25" t="str">
        <f t="shared" si="2"/>
        <v/>
      </c>
      <c r="J28" s="24" t="str">
        <f t="shared" si="3"/>
        <v/>
      </c>
      <c r="K28" s="23">
        <v>6</v>
      </c>
      <c r="L28" s="25" t="str">
        <f t="shared" si="4"/>
        <v/>
      </c>
      <c r="M28" s="24" t="str">
        <f t="shared" si="5"/>
        <v/>
      </c>
      <c r="N28" s="24" t="str">
        <f t="shared" si="6"/>
        <v/>
      </c>
      <c r="O28" s="24" t="str">
        <f t="shared" si="7"/>
        <v/>
      </c>
      <c r="P28" s="28" t="str">
        <f t="shared" si="8"/>
        <v/>
      </c>
      <c r="Q28" s="28" t="str">
        <f t="shared" si="9"/>
        <v/>
      </c>
      <c r="R28" s="28" t="str">
        <f t="shared" si="10"/>
        <v/>
      </c>
      <c r="S28" s="28" t="str">
        <f t="shared" si="11"/>
        <v>595 tray</v>
      </c>
      <c r="T28" s="28" t="str">
        <f t="shared" si="12"/>
        <v>YES</v>
      </c>
      <c r="U28" s="28"/>
    </row>
    <row r="29" spans="1:21" ht="20" customHeight="1">
      <c r="A29" s="20">
        <v>21</v>
      </c>
      <c r="B29" s="21"/>
      <c r="C29" s="22"/>
      <c r="D29" s="23" t="str">
        <f t="shared" si="0"/>
        <v/>
      </c>
      <c r="E29" s="23"/>
      <c r="F29" s="24" t="str">
        <f t="shared" si="1"/>
        <v/>
      </c>
      <c r="G29" s="23">
        <v>595</v>
      </c>
      <c r="H29" s="23"/>
      <c r="I29" s="25" t="str">
        <f t="shared" si="2"/>
        <v/>
      </c>
      <c r="J29" s="24" t="str">
        <f t="shared" si="3"/>
        <v/>
      </c>
      <c r="K29" s="23">
        <v>6</v>
      </c>
      <c r="L29" s="25" t="str">
        <f t="shared" si="4"/>
        <v/>
      </c>
      <c r="M29" s="24" t="str">
        <f t="shared" si="5"/>
        <v/>
      </c>
      <c r="N29" s="24" t="str">
        <f t="shared" si="6"/>
        <v/>
      </c>
      <c r="O29" s="24" t="str">
        <f t="shared" si="7"/>
        <v/>
      </c>
      <c r="P29" s="28" t="str">
        <f t="shared" si="8"/>
        <v/>
      </c>
      <c r="Q29" s="28" t="str">
        <f t="shared" si="9"/>
        <v/>
      </c>
      <c r="R29" s="28" t="str">
        <f t="shared" si="10"/>
        <v/>
      </c>
      <c r="S29" s="28" t="str">
        <f t="shared" si="11"/>
        <v>595 tray</v>
      </c>
      <c r="T29" s="28" t="str">
        <f t="shared" si="12"/>
        <v>YES</v>
      </c>
      <c r="U29" s="28"/>
    </row>
    <row r="30" spans="1:21" ht="20" customHeight="1">
      <c r="A30" s="20">
        <v>22</v>
      </c>
      <c r="B30" s="21"/>
      <c r="C30" s="22"/>
      <c r="D30" s="23" t="str">
        <f t="shared" si="0"/>
        <v/>
      </c>
      <c r="E30" s="23"/>
      <c r="F30" s="24" t="str">
        <f t="shared" si="1"/>
        <v/>
      </c>
      <c r="G30" s="23">
        <v>595</v>
      </c>
      <c r="H30" s="23"/>
      <c r="I30" s="25" t="str">
        <f t="shared" si="2"/>
        <v/>
      </c>
      <c r="J30" s="24" t="str">
        <f t="shared" si="3"/>
        <v/>
      </c>
      <c r="K30" s="23">
        <v>6</v>
      </c>
      <c r="L30" s="25" t="str">
        <f t="shared" si="4"/>
        <v/>
      </c>
      <c r="M30" s="24" t="str">
        <f t="shared" si="5"/>
        <v/>
      </c>
      <c r="N30" s="24" t="str">
        <f t="shared" si="6"/>
        <v/>
      </c>
      <c r="O30" s="24" t="str">
        <f t="shared" si="7"/>
        <v/>
      </c>
      <c r="P30" s="28" t="str">
        <f t="shared" si="8"/>
        <v/>
      </c>
      <c r="Q30" s="28" t="str">
        <f t="shared" si="9"/>
        <v/>
      </c>
      <c r="R30" s="28" t="str">
        <f t="shared" si="10"/>
        <v/>
      </c>
      <c r="S30" s="28" t="str">
        <f t="shared" si="11"/>
        <v>595 tray</v>
      </c>
      <c r="T30" s="28" t="str">
        <f t="shared" si="12"/>
        <v>YES</v>
      </c>
      <c r="U30" s="28"/>
    </row>
    <row r="31" spans="1:21" ht="20" customHeight="1">
      <c r="A31" s="20">
        <v>23</v>
      </c>
      <c r="B31" s="21"/>
      <c r="C31" s="22"/>
      <c r="D31" s="23" t="str">
        <f t="shared" si="0"/>
        <v/>
      </c>
      <c r="E31" s="23"/>
      <c r="F31" s="24" t="str">
        <f t="shared" si="1"/>
        <v/>
      </c>
      <c r="G31" s="23">
        <v>595</v>
      </c>
      <c r="H31" s="23"/>
      <c r="I31" s="25" t="str">
        <f t="shared" si="2"/>
        <v/>
      </c>
      <c r="J31" s="24" t="str">
        <f t="shared" si="3"/>
        <v/>
      </c>
      <c r="K31" s="23">
        <v>6</v>
      </c>
      <c r="L31" s="25" t="str">
        <f t="shared" si="4"/>
        <v/>
      </c>
      <c r="M31" s="24" t="str">
        <f t="shared" si="5"/>
        <v/>
      </c>
      <c r="N31" s="24" t="str">
        <f t="shared" si="6"/>
        <v/>
      </c>
      <c r="O31" s="24" t="str">
        <f t="shared" si="7"/>
        <v/>
      </c>
      <c r="P31" s="28" t="str">
        <f t="shared" si="8"/>
        <v/>
      </c>
      <c r="Q31" s="28" t="str">
        <f t="shared" si="9"/>
        <v/>
      </c>
      <c r="R31" s="28" t="str">
        <f t="shared" si="10"/>
        <v/>
      </c>
      <c r="S31" s="28" t="str">
        <f t="shared" si="11"/>
        <v>595 tray</v>
      </c>
      <c r="T31" s="28" t="str">
        <f t="shared" si="12"/>
        <v>YES</v>
      </c>
      <c r="U31" s="28"/>
    </row>
    <row r="32" spans="1:21" ht="20" customHeight="1">
      <c r="A32" s="20">
        <v>24</v>
      </c>
      <c r="B32" s="21"/>
      <c r="C32" s="22"/>
      <c r="D32" s="23" t="str">
        <f t="shared" si="0"/>
        <v/>
      </c>
      <c r="E32" s="23"/>
      <c r="F32" s="24" t="str">
        <f t="shared" si="1"/>
        <v/>
      </c>
      <c r="G32" s="23">
        <v>595</v>
      </c>
      <c r="H32" s="23"/>
      <c r="I32" s="25" t="str">
        <f t="shared" si="2"/>
        <v/>
      </c>
      <c r="J32" s="24" t="str">
        <f t="shared" si="3"/>
        <v/>
      </c>
      <c r="K32" s="23">
        <v>6</v>
      </c>
      <c r="L32" s="25" t="str">
        <f t="shared" si="4"/>
        <v/>
      </c>
      <c r="M32" s="24" t="str">
        <f t="shared" si="5"/>
        <v/>
      </c>
      <c r="N32" s="24" t="str">
        <f t="shared" si="6"/>
        <v/>
      </c>
      <c r="O32" s="24" t="str">
        <f t="shared" si="7"/>
        <v/>
      </c>
      <c r="P32" s="28" t="str">
        <f t="shared" si="8"/>
        <v/>
      </c>
      <c r="Q32" s="28" t="str">
        <f t="shared" si="9"/>
        <v/>
      </c>
      <c r="R32" s="28" t="str">
        <f t="shared" si="10"/>
        <v/>
      </c>
      <c r="S32" s="28" t="str">
        <f t="shared" si="11"/>
        <v>595 tray</v>
      </c>
      <c r="T32" s="28" t="str">
        <f t="shared" si="12"/>
        <v>YES</v>
      </c>
      <c r="U32" s="28"/>
    </row>
    <row r="33" spans="1:21" ht="20" customHeight="1">
      <c r="A33" s="20">
        <v>25</v>
      </c>
      <c r="B33" s="21"/>
      <c r="C33" s="22"/>
      <c r="D33" s="23" t="str">
        <f t="shared" si="0"/>
        <v/>
      </c>
      <c r="E33" s="23"/>
      <c r="F33" s="24" t="str">
        <f t="shared" si="1"/>
        <v/>
      </c>
      <c r="G33" s="23">
        <v>595</v>
      </c>
      <c r="H33" s="23"/>
      <c r="I33" s="25" t="str">
        <f t="shared" si="2"/>
        <v/>
      </c>
      <c r="J33" s="24" t="str">
        <f t="shared" si="3"/>
        <v/>
      </c>
      <c r="K33" s="23">
        <v>6</v>
      </c>
      <c r="L33" s="25" t="str">
        <f t="shared" si="4"/>
        <v/>
      </c>
      <c r="M33" s="24" t="str">
        <f t="shared" si="5"/>
        <v/>
      </c>
      <c r="N33" s="24" t="str">
        <f t="shared" si="6"/>
        <v/>
      </c>
      <c r="O33" s="24" t="str">
        <f t="shared" si="7"/>
        <v/>
      </c>
      <c r="P33" s="28" t="str">
        <f t="shared" si="8"/>
        <v/>
      </c>
      <c r="Q33" s="28" t="str">
        <f t="shared" si="9"/>
        <v/>
      </c>
      <c r="R33" s="28" t="str">
        <f t="shared" si="10"/>
        <v/>
      </c>
      <c r="S33" s="28" t="str">
        <f t="shared" si="11"/>
        <v>595 tray</v>
      </c>
      <c r="T33" s="28" t="str">
        <f t="shared" si="12"/>
        <v>YES</v>
      </c>
      <c r="U33" s="28"/>
    </row>
    <row r="34" spans="1:21" ht="20" customHeight="1">
      <c r="A34" s="20">
        <v>26</v>
      </c>
      <c r="B34" s="21"/>
      <c r="C34" s="22"/>
      <c r="D34" s="23" t="str">
        <f t="shared" si="0"/>
        <v/>
      </c>
      <c r="E34" s="23"/>
      <c r="F34" s="24" t="str">
        <f t="shared" si="1"/>
        <v/>
      </c>
      <c r="G34" s="23">
        <v>595</v>
      </c>
      <c r="H34" s="23"/>
      <c r="I34" s="25" t="str">
        <f t="shared" si="2"/>
        <v/>
      </c>
      <c r="J34" s="24" t="str">
        <f t="shared" si="3"/>
        <v/>
      </c>
      <c r="K34" s="23">
        <v>6</v>
      </c>
      <c r="L34" s="25" t="str">
        <f t="shared" si="4"/>
        <v/>
      </c>
      <c r="M34" s="24" t="str">
        <f t="shared" si="5"/>
        <v/>
      </c>
      <c r="N34" s="24" t="str">
        <f t="shared" si="6"/>
        <v/>
      </c>
      <c r="O34" s="24" t="str">
        <f t="shared" si="7"/>
        <v/>
      </c>
      <c r="P34" s="28" t="str">
        <f t="shared" si="8"/>
        <v/>
      </c>
      <c r="Q34" s="28" t="str">
        <f t="shared" si="9"/>
        <v/>
      </c>
      <c r="R34" s="28" t="str">
        <f t="shared" si="10"/>
        <v/>
      </c>
      <c r="S34" s="28" t="str">
        <f t="shared" si="11"/>
        <v>595 tray</v>
      </c>
      <c r="T34" s="28" t="str">
        <f t="shared" si="12"/>
        <v>YES</v>
      </c>
      <c r="U34" s="28"/>
    </row>
    <row r="35" spans="1:21" ht="20" customHeight="1">
      <c r="A35" s="20">
        <v>27</v>
      </c>
      <c r="B35" s="21"/>
      <c r="C35" s="22"/>
      <c r="D35" s="23" t="str">
        <f t="shared" si="0"/>
        <v/>
      </c>
      <c r="E35" s="23"/>
      <c r="F35" s="24" t="str">
        <f t="shared" si="1"/>
        <v/>
      </c>
      <c r="G35" s="23">
        <v>595</v>
      </c>
      <c r="H35" s="23"/>
      <c r="I35" s="25" t="str">
        <f t="shared" si="2"/>
        <v/>
      </c>
      <c r="J35" s="24" t="str">
        <f t="shared" si="3"/>
        <v/>
      </c>
      <c r="K35" s="23">
        <v>6</v>
      </c>
      <c r="L35" s="25" t="str">
        <f t="shared" si="4"/>
        <v/>
      </c>
      <c r="M35" s="24" t="str">
        <f t="shared" si="5"/>
        <v/>
      </c>
      <c r="N35" s="24" t="str">
        <f t="shared" si="6"/>
        <v/>
      </c>
      <c r="O35" s="24" t="str">
        <f t="shared" si="7"/>
        <v/>
      </c>
      <c r="P35" s="28" t="str">
        <f t="shared" si="8"/>
        <v/>
      </c>
      <c r="Q35" s="28" t="str">
        <f t="shared" si="9"/>
        <v/>
      </c>
      <c r="R35" s="28" t="str">
        <f t="shared" si="10"/>
        <v/>
      </c>
      <c r="S35" s="28" t="str">
        <f t="shared" si="11"/>
        <v>595 tray</v>
      </c>
      <c r="T35" s="28" t="str">
        <f t="shared" si="12"/>
        <v>YES</v>
      </c>
      <c r="U35" s="28"/>
    </row>
    <row r="36" spans="1:21" ht="20" customHeight="1">
      <c r="A36" s="20">
        <v>28</v>
      </c>
      <c r="B36" s="21"/>
      <c r="C36" s="22"/>
      <c r="D36" s="23" t="str">
        <f t="shared" si="0"/>
        <v/>
      </c>
      <c r="E36" s="23"/>
      <c r="F36" s="24" t="str">
        <f t="shared" si="1"/>
        <v/>
      </c>
      <c r="G36" s="23">
        <v>595</v>
      </c>
      <c r="H36" s="23"/>
      <c r="I36" s="25" t="str">
        <f t="shared" si="2"/>
        <v/>
      </c>
      <c r="J36" s="24" t="str">
        <f t="shared" si="3"/>
        <v/>
      </c>
      <c r="K36" s="23">
        <v>6</v>
      </c>
      <c r="L36" s="25" t="str">
        <f t="shared" si="4"/>
        <v/>
      </c>
      <c r="M36" s="24" t="str">
        <f t="shared" si="5"/>
        <v/>
      </c>
      <c r="N36" s="24" t="str">
        <f t="shared" si="6"/>
        <v/>
      </c>
      <c r="O36" s="24" t="str">
        <f t="shared" si="7"/>
        <v/>
      </c>
      <c r="P36" s="28" t="str">
        <f t="shared" si="8"/>
        <v/>
      </c>
      <c r="Q36" s="28" t="str">
        <f t="shared" si="9"/>
        <v/>
      </c>
      <c r="R36" s="28" t="str">
        <f t="shared" si="10"/>
        <v/>
      </c>
      <c r="S36" s="28" t="str">
        <f t="shared" si="11"/>
        <v>595 tray</v>
      </c>
      <c r="T36" s="28" t="str">
        <f t="shared" si="12"/>
        <v>YES</v>
      </c>
      <c r="U36" s="28"/>
    </row>
    <row r="37" spans="1:21" ht="20" customHeight="1">
      <c r="A37" s="20">
        <v>29</v>
      </c>
      <c r="B37" s="21"/>
      <c r="C37" s="22"/>
      <c r="D37" s="23" t="str">
        <f t="shared" si="0"/>
        <v/>
      </c>
      <c r="E37" s="23"/>
      <c r="F37" s="24" t="str">
        <f t="shared" si="1"/>
        <v/>
      </c>
      <c r="G37" s="23">
        <v>595</v>
      </c>
      <c r="H37" s="23"/>
      <c r="I37" s="25" t="str">
        <f t="shared" si="2"/>
        <v/>
      </c>
      <c r="J37" s="24" t="str">
        <f t="shared" si="3"/>
        <v/>
      </c>
      <c r="K37" s="23">
        <v>6</v>
      </c>
      <c r="L37" s="25" t="str">
        <f t="shared" si="4"/>
        <v/>
      </c>
      <c r="M37" s="24" t="str">
        <f t="shared" si="5"/>
        <v/>
      </c>
      <c r="N37" s="24" t="str">
        <f t="shared" si="6"/>
        <v/>
      </c>
      <c r="O37" s="24" t="str">
        <f t="shared" si="7"/>
        <v/>
      </c>
      <c r="P37" s="28" t="str">
        <f t="shared" si="8"/>
        <v/>
      </c>
      <c r="Q37" s="28" t="str">
        <f t="shared" si="9"/>
        <v/>
      </c>
      <c r="R37" s="28" t="str">
        <f t="shared" si="10"/>
        <v/>
      </c>
      <c r="S37" s="28" t="str">
        <f t="shared" si="11"/>
        <v>595 tray</v>
      </c>
      <c r="T37" s="28" t="str">
        <f t="shared" si="12"/>
        <v>YES</v>
      </c>
      <c r="U37" s="28"/>
    </row>
    <row r="38" spans="1:21" ht="20" customHeight="1">
      <c r="A38" s="20">
        <v>30</v>
      </c>
      <c r="B38" s="21"/>
      <c r="C38" s="22"/>
      <c r="D38" s="23" t="str">
        <f t="shared" si="0"/>
        <v/>
      </c>
      <c r="E38" s="23"/>
      <c r="F38" s="24" t="str">
        <f t="shared" si="1"/>
        <v/>
      </c>
      <c r="G38" s="23">
        <v>595</v>
      </c>
      <c r="H38" s="23"/>
      <c r="I38" s="25" t="str">
        <f t="shared" si="2"/>
        <v/>
      </c>
      <c r="J38" s="24" t="str">
        <f t="shared" si="3"/>
        <v/>
      </c>
      <c r="K38" s="23">
        <v>6</v>
      </c>
      <c r="L38" s="25" t="str">
        <f t="shared" si="4"/>
        <v/>
      </c>
      <c r="M38" s="24" t="str">
        <f t="shared" si="5"/>
        <v/>
      </c>
      <c r="N38" s="24" t="str">
        <f t="shared" si="6"/>
        <v/>
      </c>
      <c r="O38" s="24" t="str">
        <f t="shared" si="7"/>
        <v/>
      </c>
      <c r="P38" s="28" t="str">
        <f t="shared" si="8"/>
        <v/>
      </c>
      <c r="Q38" s="28" t="str">
        <f t="shared" si="9"/>
        <v/>
      </c>
      <c r="R38" s="28" t="str">
        <f t="shared" si="10"/>
        <v/>
      </c>
      <c r="S38" s="28" t="str">
        <f t="shared" si="11"/>
        <v>595 tray</v>
      </c>
      <c r="T38" s="28" t="str">
        <f t="shared" si="12"/>
        <v>YES</v>
      </c>
      <c r="U38" s="28"/>
    </row>
    <row r="39" spans="1:21" ht="20" customHeight="1">
      <c r="A39" s="20">
        <v>31</v>
      </c>
      <c r="B39" s="21"/>
      <c r="C39" s="22"/>
      <c r="D39" s="23" t="str">
        <f t="shared" si="0"/>
        <v/>
      </c>
      <c r="E39" s="23"/>
      <c r="F39" s="24" t="str">
        <f t="shared" si="1"/>
        <v/>
      </c>
      <c r="G39" s="23">
        <v>595</v>
      </c>
      <c r="H39" s="23"/>
      <c r="I39" s="25" t="str">
        <f t="shared" si="2"/>
        <v/>
      </c>
      <c r="J39" s="24" t="str">
        <f t="shared" si="3"/>
        <v/>
      </c>
      <c r="K39" s="23">
        <v>6</v>
      </c>
      <c r="L39" s="25" t="str">
        <f t="shared" si="4"/>
        <v/>
      </c>
      <c r="M39" s="24" t="str">
        <f t="shared" si="5"/>
        <v/>
      </c>
      <c r="N39" s="24" t="str">
        <f t="shared" si="6"/>
        <v/>
      </c>
      <c r="O39" s="24" t="str">
        <f t="shared" si="7"/>
        <v/>
      </c>
      <c r="P39" s="28" t="str">
        <f t="shared" si="8"/>
        <v/>
      </c>
      <c r="Q39" s="28" t="str">
        <f t="shared" si="9"/>
        <v/>
      </c>
      <c r="R39" s="28" t="str">
        <f t="shared" si="10"/>
        <v/>
      </c>
      <c r="S39" s="28" t="str">
        <f t="shared" si="11"/>
        <v>595 tray</v>
      </c>
      <c r="T39" s="28" t="str">
        <f t="shared" si="12"/>
        <v>YES</v>
      </c>
      <c r="U39" s="28"/>
    </row>
    <row r="40" spans="1:21" ht="20" customHeight="1">
      <c r="A40" s="20">
        <v>32</v>
      </c>
      <c r="B40" s="21"/>
      <c r="C40" s="22"/>
      <c r="D40" s="23" t="str">
        <f t="shared" si="0"/>
        <v/>
      </c>
      <c r="E40" s="23"/>
      <c r="F40" s="24" t="str">
        <f t="shared" si="1"/>
        <v/>
      </c>
      <c r="G40" s="23">
        <v>595</v>
      </c>
      <c r="H40" s="23"/>
      <c r="I40" s="25" t="str">
        <f t="shared" si="2"/>
        <v/>
      </c>
      <c r="J40" s="24" t="str">
        <f t="shared" si="3"/>
        <v/>
      </c>
      <c r="K40" s="23">
        <v>6</v>
      </c>
      <c r="L40" s="25" t="str">
        <f t="shared" si="4"/>
        <v/>
      </c>
      <c r="M40" s="24" t="str">
        <f t="shared" si="5"/>
        <v/>
      </c>
      <c r="N40" s="24" t="str">
        <f t="shared" si="6"/>
        <v/>
      </c>
      <c r="O40" s="24" t="str">
        <f t="shared" si="7"/>
        <v/>
      </c>
      <c r="P40" s="28" t="str">
        <f t="shared" si="8"/>
        <v/>
      </c>
      <c r="Q40" s="28" t="str">
        <f t="shared" si="9"/>
        <v/>
      </c>
      <c r="R40" s="28" t="str">
        <f t="shared" si="10"/>
        <v/>
      </c>
      <c r="S40" s="28" t="str">
        <f t="shared" si="11"/>
        <v>595 tray</v>
      </c>
      <c r="T40" s="28" t="str">
        <f t="shared" si="12"/>
        <v>YES</v>
      </c>
      <c r="U40" s="28"/>
    </row>
    <row r="41" spans="1:21" ht="20" customHeight="1">
      <c r="A41" s="20">
        <v>33</v>
      </c>
      <c r="B41" s="21"/>
      <c r="C41" s="22"/>
      <c r="D41" s="23" t="str">
        <f t="shared" ref="D41:D58" si="13">IF(B41&lt;&gt;"",$B$2,"")</f>
        <v/>
      </c>
      <c r="E41" s="23"/>
      <c r="F41" s="24" t="str">
        <f t="shared" ref="F41:F58" si="14">IF(AND(D41&lt;&gt;"",E41&lt;&gt;""),D41+E41,"")</f>
        <v/>
      </c>
      <c r="G41" s="23">
        <v>595</v>
      </c>
      <c r="H41" s="23"/>
      <c r="I41" s="25" t="str">
        <f t="shared" ref="I41:I58" si="15">IF(H41&lt;&gt;"",$B$4,"")</f>
        <v/>
      </c>
      <c r="J41" s="24" t="str">
        <f t="shared" ref="J41:J58" si="16">IF(H41&lt;&gt;"",ROUNDUP(H41*(1+I41),0),"")</f>
        <v/>
      </c>
      <c r="K41" s="23">
        <v>6</v>
      </c>
      <c r="L41" s="25" t="str">
        <f t="shared" ref="L41:L58" si="17">IF(B41&lt;&gt;"",$B$3,"")</f>
        <v/>
      </c>
      <c r="M41" s="24" t="str">
        <f t="shared" ref="M41:M58" si="18">IF(AND(J41&lt;&gt;"",K41&lt;&gt;"",L41&gt;0),ROUNDUP((J41*K41)/L41,0),"")</f>
        <v/>
      </c>
      <c r="N41" s="24" t="str">
        <f t="shared" ref="N41:N58" si="19">IF(AND(M41&lt;&gt;"",G41&gt;0),ROUNDUP(M41/G41,0),"")</f>
        <v/>
      </c>
      <c r="O41" s="24" t="str">
        <f t="shared" ref="O41:O58" si="20">IF(AND(N41&lt;&gt;"",G41&gt;0),N41*G41,"")</f>
        <v/>
      </c>
      <c r="P41" s="28" t="str">
        <f t="shared" ref="P41:P58" si="21">IF(AND(O41&lt;&gt;"",L41&lt;&gt;""),ROUND(O41*L41,0),"")</f>
        <v/>
      </c>
      <c r="Q41" s="28" t="str">
        <f t="shared" ref="Q41:Q58" si="22">IF(AND(P41&lt;&gt;"",K41&gt;0),ROUNDDOWN(P41/K41,0),"")</f>
        <v/>
      </c>
      <c r="R41" s="28" t="str">
        <f t="shared" ref="R41:R58" si="23">IF(AND(Q41&lt;&gt;"",J41&lt;&gt;""),Q41-J41,"")</f>
        <v/>
      </c>
      <c r="S41" s="28" t="str">
        <f t="shared" ref="S41:S58" si="24">IF(G41&lt;&gt;"",G41&amp;" tray","")</f>
        <v>595 tray</v>
      </c>
      <c r="T41" s="28" t="str">
        <f t="shared" ref="T41:T58" si="25">IF(M41&gt;0,"YES","")</f>
        <v>YES</v>
      </c>
      <c r="U41" s="28"/>
    </row>
    <row r="42" spans="1:21" ht="20" customHeight="1">
      <c r="A42" s="20">
        <v>34</v>
      </c>
      <c r="B42" s="21"/>
      <c r="C42" s="22"/>
      <c r="D42" s="23" t="str">
        <f t="shared" si="13"/>
        <v/>
      </c>
      <c r="E42" s="23"/>
      <c r="F42" s="24" t="str">
        <f t="shared" si="14"/>
        <v/>
      </c>
      <c r="G42" s="23">
        <v>595</v>
      </c>
      <c r="H42" s="23"/>
      <c r="I42" s="25" t="str">
        <f t="shared" si="15"/>
        <v/>
      </c>
      <c r="J42" s="24" t="str">
        <f t="shared" si="16"/>
        <v/>
      </c>
      <c r="K42" s="23">
        <v>6</v>
      </c>
      <c r="L42" s="25" t="str">
        <f t="shared" si="17"/>
        <v/>
      </c>
      <c r="M42" s="24" t="str">
        <f t="shared" si="18"/>
        <v/>
      </c>
      <c r="N42" s="24" t="str">
        <f t="shared" si="19"/>
        <v/>
      </c>
      <c r="O42" s="24" t="str">
        <f t="shared" si="20"/>
        <v/>
      </c>
      <c r="P42" s="28" t="str">
        <f t="shared" si="21"/>
        <v/>
      </c>
      <c r="Q42" s="28" t="str">
        <f t="shared" si="22"/>
        <v/>
      </c>
      <c r="R42" s="28" t="str">
        <f t="shared" si="23"/>
        <v/>
      </c>
      <c r="S42" s="28" t="str">
        <f t="shared" si="24"/>
        <v>595 tray</v>
      </c>
      <c r="T42" s="28" t="str">
        <f t="shared" si="25"/>
        <v>YES</v>
      </c>
      <c r="U42" s="28"/>
    </row>
    <row r="43" spans="1:21" ht="20" customHeight="1">
      <c r="A43" s="20">
        <v>35</v>
      </c>
      <c r="B43" s="21"/>
      <c r="C43" s="22"/>
      <c r="D43" s="23" t="str">
        <f t="shared" si="13"/>
        <v/>
      </c>
      <c r="E43" s="23"/>
      <c r="F43" s="24" t="str">
        <f t="shared" si="14"/>
        <v/>
      </c>
      <c r="G43" s="23">
        <v>595</v>
      </c>
      <c r="H43" s="23"/>
      <c r="I43" s="25" t="str">
        <f t="shared" si="15"/>
        <v/>
      </c>
      <c r="J43" s="24" t="str">
        <f t="shared" si="16"/>
        <v/>
      </c>
      <c r="K43" s="23">
        <v>6</v>
      </c>
      <c r="L43" s="25" t="str">
        <f t="shared" si="17"/>
        <v/>
      </c>
      <c r="M43" s="24" t="str">
        <f t="shared" si="18"/>
        <v/>
      </c>
      <c r="N43" s="24" t="str">
        <f t="shared" si="19"/>
        <v/>
      </c>
      <c r="O43" s="24" t="str">
        <f t="shared" si="20"/>
        <v/>
      </c>
      <c r="P43" s="28" t="str">
        <f t="shared" si="21"/>
        <v/>
      </c>
      <c r="Q43" s="28" t="str">
        <f t="shared" si="22"/>
        <v/>
      </c>
      <c r="R43" s="28" t="str">
        <f t="shared" si="23"/>
        <v/>
      </c>
      <c r="S43" s="28" t="str">
        <f t="shared" si="24"/>
        <v>595 tray</v>
      </c>
      <c r="T43" s="28" t="str">
        <f t="shared" si="25"/>
        <v>YES</v>
      </c>
      <c r="U43" s="28"/>
    </row>
    <row r="44" spans="1:21" ht="20" customHeight="1">
      <c r="A44" s="20">
        <v>36</v>
      </c>
      <c r="B44" s="21"/>
      <c r="C44" s="22"/>
      <c r="D44" s="23" t="str">
        <f t="shared" si="13"/>
        <v/>
      </c>
      <c r="E44" s="23"/>
      <c r="F44" s="24" t="str">
        <f t="shared" si="14"/>
        <v/>
      </c>
      <c r="G44" s="23">
        <v>595</v>
      </c>
      <c r="H44" s="23"/>
      <c r="I44" s="25" t="str">
        <f t="shared" si="15"/>
        <v/>
      </c>
      <c r="J44" s="24" t="str">
        <f t="shared" si="16"/>
        <v/>
      </c>
      <c r="K44" s="23">
        <v>6</v>
      </c>
      <c r="L44" s="25" t="str">
        <f t="shared" si="17"/>
        <v/>
      </c>
      <c r="M44" s="24" t="str">
        <f t="shared" si="18"/>
        <v/>
      </c>
      <c r="N44" s="24" t="str">
        <f t="shared" si="19"/>
        <v/>
      </c>
      <c r="O44" s="24" t="str">
        <f t="shared" si="20"/>
        <v/>
      </c>
      <c r="P44" s="28" t="str">
        <f t="shared" si="21"/>
        <v/>
      </c>
      <c r="Q44" s="28" t="str">
        <f t="shared" si="22"/>
        <v/>
      </c>
      <c r="R44" s="28" t="str">
        <f t="shared" si="23"/>
        <v/>
      </c>
      <c r="S44" s="28" t="str">
        <f t="shared" si="24"/>
        <v>595 tray</v>
      </c>
      <c r="T44" s="28" t="str">
        <f t="shared" si="25"/>
        <v>YES</v>
      </c>
      <c r="U44" s="28"/>
    </row>
    <row r="45" spans="1:21" ht="20" customHeight="1">
      <c r="A45" s="20">
        <v>37</v>
      </c>
      <c r="B45" s="21"/>
      <c r="C45" s="22"/>
      <c r="D45" s="23" t="str">
        <f t="shared" si="13"/>
        <v/>
      </c>
      <c r="E45" s="23"/>
      <c r="F45" s="24" t="str">
        <f t="shared" si="14"/>
        <v/>
      </c>
      <c r="G45" s="23">
        <v>595</v>
      </c>
      <c r="H45" s="23"/>
      <c r="I45" s="25" t="str">
        <f t="shared" si="15"/>
        <v/>
      </c>
      <c r="J45" s="24" t="str">
        <f t="shared" si="16"/>
        <v/>
      </c>
      <c r="K45" s="23">
        <v>6</v>
      </c>
      <c r="L45" s="25" t="str">
        <f t="shared" si="17"/>
        <v/>
      </c>
      <c r="M45" s="24" t="str">
        <f t="shared" si="18"/>
        <v/>
      </c>
      <c r="N45" s="24" t="str">
        <f t="shared" si="19"/>
        <v/>
      </c>
      <c r="O45" s="24" t="str">
        <f t="shared" si="20"/>
        <v/>
      </c>
      <c r="P45" s="28" t="str">
        <f t="shared" si="21"/>
        <v/>
      </c>
      <c r="Q45" s="28" t="str">
        <f t="shared" si="22"/>
        <v/>
      </c>
      <c r="R45" s="28" t="str">
        <f t="shared" si="23"/>
        <v/>
      </c>
      <c r="S45" s="28" t="str">
        <f t="shared" si="24"/>
        <v>595 tray</v>
      </c>
      <c r="T45" s="28" t="str">
        <f t="shared" si="25"/>
        <v>YES</v>
      </c>
      <c r="U45" s="28"/>
    </row>
    <row r="46" spans="1:21" ht="20" customHeight="1">
      <c r="A46" s="20">
        <v>38</v>
      </c>
      <c r="B46" s="21"/>
      <c r="C46" s="22"/>
      <c r="D46" s="23" t="str">
        <f t="shared" si="13"/>
        <v/>
      </c>
      <c r="E46" s="23"/>
      <c r="F46" s="24" t="str">
        <f t="shared" si="14"/>
        <v/>
      </c>
      <c r="G46" s="23">
        <v>595</v>
      </c>
      <c r="H46" s="23"/>
      <c r="I46" s="25" t="str">
        <f t="shared" si="15"/>
        <v/>
      </c>
      <c r="J46" s="24" t="str">
        <f t="shared" si="16"/>
        <v/>
      </c>
      <c r="K46" s="23">
        <v>6</v>
      </c>
      <c r="L46" s="25" t="str">
        <f t="shared" si="17"/>
        <v/>
      </c>
      <c r="M46" s="24" t="str">
        <f t="shared" si="18"/>
        <v/>
      </c>
      <c r="N46" s="24" t="str">
        <f t="shared" si="19"/>
        <v/>
      </c>
      <c r="O46" s="24" t="str">
        <f t="shared" si="20"/>
        <v/>
      </c>
      <c r="P46" s="28" t="str">
        <f t="shared" si="21"/>
        <v/>
      </c>
      <c r="Q46" s="28" t="str">
        <f t="shared" si="22"/>
        <v/>
      </c>
      <c r="R46" s="28" t="str">
        <f t="shared" si="23"/>
        <v/>
      </c>
      <c r="S46" s="28" t="str">
        <f t="shared" si="24"/>
        <v>595 tray</v>
      </c>
      <c r="T46" s="28" t="str">
        <f t="shared" si="25"/>
        <v>YES</v>
      </c>
      <c r="U46" s="28"/>
    </row>
    <row r="47" spans="1:21" ht="20" customHeight="1">
      <c r="A47" s="20">
        <v>39</v>
      </c>
      <c r="B47" s="21"/>
      <c r="C47" s="22"/>
      <c r="D47" s="23" t="str">
        <f t="shared" si="13"/>
        <v/>
      </c>
      <c r="E47" s="23"/>
      <c r="F47" s="24" t="str">
        <f t="shared" si="14"/>
        <v/>
      </c>
      <c r="G47" s="23">
        <v>595</v>
      </c>
      <c r="H47" s="23"/>
      <c r="I47" s="25" t="str">
        <f t="shared" si="15"/>
        <v/>
      </c>
      <c r="J47" s="24" t="str">
        <f t="shared" si="16"/>
        <v/>
      </c>
      <c r="K47" s="23">
        <v>6</v>
      </c>
      <c r="L47" s="25" t="str">
        <f t="shared" si="17"/>
        <v/>
      </c>
      <c r="M47" s="24" t="str">
        <f t="shared" si="18"/>
        <v/>
      </c>
      <c r="N47" s="24" t="str">
        <f t="shared" si="19"/>
        <v/>
      </c>
      <c r="O47" s="24" t="str">
        <f t="shared" si="20"/>
        <v/>
      </c>
      <c r="P47" s="28" t="str">
        <f t="shared" si="21"/>
        <v/>
      </c>
      <c r="Q47" s="28" t="str">
        <f t="shared" si="22"/>
        <v/>
      </c>
      <c r="R47" s="28" t="str">
        <f t="shared" si="23"/>
        <v/>
      </c>
      <c r="S47" s="28" t="str">
        <f t="shared" si="24"/>
        <v>595 tray</v>
      </c>
      <c r="T47" s="28" t="str">
        <f t="shared" si="25"/>
        <v>YES</v>
      </c>
      <c r="U47" s="28"/>
    </row>
    <row r="48" spans="1:21" ht="20" customHeight="1">
      <c r="A48" s="20">
        <v>40</v>
      </c>
      <c r="B48" s="21"/>
      <c r="C48" s="22"/>
      <c r="D48" s="23" t="str">
        <f t="shared" si="13"/>
        <v/>
      </c>
      <c r="E48" s="23"/>
      <c r="F48" s="24" t="str">
        <f t="shared" si="14"/>
        <v/>
      </c>
      <c r="G48" s="23">
        <v>595</v>
      </c>
      <c r="H48" s="23"/>
      <c r="I48" s="25" t="str">
        <f t="shared" si="15"/>
        <v/>
      </c>
      <c r="J48" s="24" t="str">
        <f t="shared" si="16"/>
        <v/>
      </c>
      <c r="K48" s="23">
        <v>6</v>
      </c>
      <c r="L48" s="25" t="str">
        <f t="shared" si="17"/>
        <v/>
      </c>
      <c r="M48" s="24" t="str">
        <f t="shared" si="18"/>
        <v/>
      </c>
      <c r="N48" s="24" t="str">
        <f t="shared" si="19"/>
        <v/>
      </c>
      <c r="O48" s="24" t="str">
        <f t="shared" si="20"/>
        <v/>
      </c>
      <c r="P48" s="28" t="str">
        <f t="shared" si="21"/>
        <v/>
      </c>
      <c r="Q48" s="28" t="str">
        <f t="shared" si="22"/>
        <v/>
      </c>
      <c r="R48" s="28" t="str">
        <f t="shared" si="23"/>
        <v/>
      </c>
      <c r="S48" s="28" t="str">
        <f t="shared" si="24"/>
        <v>595 tray</v>
      </c>
      <c r="T48" s="28" t="str">
        <f t="shared" si="25"/>
        <v>YES</v>
      </c>
      <c r="U48" s="28"/>
    </row>
    <row r="49" spans="1:21" ht="20" customHeight="1">
      <c r="A49" s="20">
        <v>41</v>
      </c>
      <c r="B49" s="21"/>
      <c r="C49" s="22"/>
      <c r="D49" s="23" t="str">
        <f t="shared" si="13"/>
        <v/>
      </c>
      <c r="E49" s="23"/>
      <c r="F49" s="24" t="str">
        <f t="shared" si="14"/>
        <v/>
      </c>
      <c r="G49" s="23">
        <v>595</v>
      </c>
      <c r="H49" s="23"/>
      <c r="I49" s="25" t="str">
        <f t="shared" si="15"/>
        <v/>
      </c>
      <c r="J49" s="24" t="str">
        <f t="shared" si="16"/>
        <v/>
      </c>
      <c r="K49" s="23">
        <v>6</v>
      </c>
      <c r="L49" s="25" t="str">
        <f t="shared" si="17"/>
        <v/>
      </c>
      <c r="M49" s="24" t="str">
        <f t="shared" si="18"/>
        <v/>
      </c>
      <c r="N49" s="24" t="str">
        <f t="shared" si="19"/>
        <v/>
      </c>
      <c r="O49" s="24" t="str">
        <f t="shared" si="20"/>
        <v/>
      </c>
      <c r="P49" s="28" t="str">
        <f t="shared" si="21"/>
        <v/>
      </c>
      <c r="Q49" s="28" t="str">
        <f t="shared" si="22"/>
        <v/>
      </c>
      <c r="R49" s="28" t="str">
        <f t="shared" si="23"/>
        <v/>
      </c>
      <c r="S49" s="28" t="str">
        <f t="shared" si="24"/>
        <v>595 tray</v>
      </c>
      <c r="T49" s="28" t="str">
        <f t="shared" si="25"/>
        <v>YES</v>
      </c>
      <c r="U49" s="28"/>
    </row>
    <row r="50" spans="1:21" ht="20" customHeight="1">
      <c r="A50" s="20">
        <v>42</v>
      </c>
      <c r="B50" s="21"/>
      <c r="C50" s="22"/>
      <c r="D50" s="23" t="str">
        <f t="shared" si="13"/>
        <v/>
      </c>
      <c r="E50" s="23"/>
      <c r="F50" s="24" t="str">
        <f t="shared" si="14"/>
        <v/>
      </c>
      <c r="G50" s="23">
        <v>595</v>
      </c>
      <c r="H50" s="23"/>
      <c r="I50" s="25" t="str">
        <f t="shared" si="15"/>
        <v/>
      </c>
      <c r="J50" s="24" t="str">
        <f t="shared" si="16"/>
        <v/>
      </c>
      <c r="K50" s="23">
        <v>6</v>
      </c>
      <c r="L50" s="25" t="str">
        <f t="shared" si="17"/>
        <v/>
      </c>
      <c r="M50" s="24" t="str">
        <f t="shared" si="18"/>
        <v/>
      </c>
      <c r="N50" s="24" t="str">
        <f t="shared" si="19"/>
        <v/>
      </c>
      <c r="O50" s="24" t="str">
        <f t="shared" si="20"/>
        <v/>
      </c>
      <c r="P50" s="28" t="str">
        <f t="shared" si="21"/>
        <v/>
      </c>
      <c r="Q50" s="28" t="str">
        <f t="shared" si="22"/>
        <v/>
      </c>
      <c r="R50" s="28" t="str">
        <f t="shared" si="23"/>
        <v/>
      </c>
      <c r="S50" s="28" t="str">
        <f t="shared" si="24"/>
        <v>595 tray</v>
      </c>
      <c r="T50" s="28" t="str">
        <f t="shared" si="25"/>
        <v>YES</v>
      </c>
      <c r="U50" s="28"/>
    </row>
    <row r="51" spans="1:21" ht="20" customHeight="1">
      <c r="A51" s="20">
        <v>43</v>
      </c>
      <c r="B51" s="21"/>
      <c r="C51" s="22"/>
      <c r="D51" s="23" t="str">
        <f t="shared" si="13"/>
        <v/>
      </c>
      <c r="E51" s="23"/>
      <c r="F51" s="24" t="str">
        <f t="shared" si="14"/>
        <v/>
      </c>
      <c r="G51" s="23">
        <v>595</v>
      </c>
      <c r="H51" s="23"/>
      <c r="I51" s="25" t="str">
        <f t="shared" si="15"/>
        <v/>
      </c>
      <c r="J51" s="24" t="str">
        <f t="shared" si="16"/>
        <v/>
      </c>
      <c r="K51" s="23">
        <v>6</v>
      </c>
      <c r="L51" s="25" t="str">
        <f t="shared" si="17"/>
        <v/>
      </c>
      <c r="M51" s="24" t="str">
        <f t="shared" si="18"/>
        <v/>
      </c>
      <c r="N51" s="24" t="str">
        <f t="shared" si="19"/>
        <v/>
      </c>
      <c r="O51" s="24" t="str">
        <f t="shared" si="20"/>
        <v/>
      </c>
      <c r="P51" s="28" t="str">
        <f t="shared" si="21"/>
        <v/>
      </c>
      <c r="Q51" s="28" t="str">
        <f t="shared" si="22"/>
        <v/>
      </c>
      <c r="R51" s="28" t="str">
        <f t="shared" si="23"/>
        <v/>
      </c>
      <c r="S51" s="28" t="str">
        <f t="shared" si="24"/>
        <v>595 tray</v>
      </c>
      <c r="T51" s="28" t="str">
        <f t="shared" si="25"/>
        <v>YES</v>
      </c>
      <c r="U51" s="28"/>
    </row>
    <row r="52" spans="1:21" ht="20" customHeight="1">
      <c r="A52" s="20">
        <v>44</v>
      </c>
      <c r="B52" s="21"/>
      <c r="C52" s="22"/>
      <c r="D52" s="23" t="str">
        <f t="shared" si="13"/>
        <v/>
      </c>
      <c r="E52" s="23"/>
      <c r="F52" s="24" t="str">
        <f t="shared" si="14"/>
        <v/>
      </c>
      <c r="G52" s="23">
        <v>595</v>
      </c>
      <c r="H52" s="23"/>
      <c r="I52" s="25" t="str">
        <f t="shared" si="15"/>
        <v/>
      </c>
      <c r="J52" s="24" t="str">
        <f t="shared" si="16"/>
        <v/>
      </c>
      <c r="K52" s="23">
        <v>6</v>
      </c>
      <c r="L52" s="25" t="str">
        <f t="shared" si="17"/>
        <v/>
      </c>
      <c r="M52" s="24" t="str">
        <f t="shared" si="18"/>
        <v/>
      </c>
      <c r="N52" s="24" t="str">
        <f t="shared" si="19"/>
        <v/>
      </c>
      <c r="O52" s="24" t="str">
        <f t="shared" si="20"/>
        <v/>
      </c>
      <c r="P52" s="28" t="str">
        <f t="shared" si="21"/>
        <v/>
      </c>
      <c r="Q52" s="28" t="str">
        <f t="shared" si="22"/>
        <v/>
      </c>
      <c r="R52" s="28" t="str">
        <f t="shared" si="23"/>
        <v/>
      </c>
      <c r="S52" s="28" t="str">
        <f t="shared" si="24"/>
        <v>595 tray</v>
      </c>
      <c r="T52" s="28" t="str">
        <f t="shared" si="25"/>
        <v>YES</v>
      </c>
      <c r="U52" s="28"/>
    </row>
    <row r="53" spans="1:21" ht="20" customHeight="1">
      <c r="A53" s="20">
        <v>45</v>
      </c>
      <c r="B53" s="21"/>
      <c r="C53" s="22"/>
      <c r="D53" s="23" t="str">
        <f t="shared" si="13"/>
        <v/>
      </c>
      <c r="E53" s="23"/>
      <c r="F53" s="24" t="str">
        <f t="shared" si="14"/>
        <v/>
      </c>
      <c r="G53" s="23">
        <v>595</v>
      </c>
      <c r="H53" s="23"/>
      <c r="I53" s="25" t="str">
        <f t="shared" si="15"/>
        <v/>
      </c>
      <c r="J53" s="24" t="str">
        <f t="shared" si="16"/>
        <v/>
      </c>
      <c r="K53" s="23">
        <v>6</v>
      </c>
      <c r="L53" s="25" t="str">
        <f t="shared" si="17"/>
        <v/>
      </c>
      <c r="M53" s="24" t="str">
        <f t="shared" si="18"/>
        <v/>
      </c>
      <c r="N53" s="24" t="str">
        <f t="shared" si="19"/>
        <v/>
      </c>
      <c r="O53" s="24" t="str">
        <f t="shared" si="20"/>
        <v/>
      </c>
      <c r="P53" s="28" t="str">
        <f t="shared" si="21"/>
        <v/>
      </c>
      <c r="Q53" s="28" t="str">
        <f t="shared" si="22"/>
        <v/>
      </c>
      <c r="R53" s="28" t="str">
        <f t="shared" si="23"/>
        <v/>
      </c>
      <c r="S53" s="28" t="str">
        <f t="shared" si="24"/>
        <v>595 tray</v>
      </c>
      <c r="T53" s="28" t="str">
        <f t="shared" si="25"/>
        <v>YES</v>
      </c>
      <c r="U53" s="28"/>
    </row>
    <row r="54" spans="1:21" ht="20" customHeight="1">
      <c r="A54" s="20">
        <v>46</v>
      </c>
      <c r="B54" s="21"/>
      <c r="C54" s="22"/>
      <c r="D54" s="23" t="str">
        <f t="shared" si="13"/>
        <v/>
      </c>
      <c r="E54" s="23"/>
      <c r="F54" s="24" t="str">
        <f t="shared" si="14"/>
        <v/>
      </c>
      <c r="G54" s="23">
        <v>595</v>
      </c>
      <c r="H54" s="23"/>
      <c r="I54" s="25" t="str">
        <f t="shared" si="15"/>
        <v/>
      </c>
      <c r="J54" s="24" t="str">
        <f t="shared" si="16"/>
        <v/>
      </c>
      <c r="K54" s="23">
        <v>6</v>
      </c>
      <c r="L54" s="25" t="str">
        <f t="shared" si="17"/>
        <v/>
      </c>
      <c r="M54" s="24" t="str">
        <f t="shared" si="18"/>
        <v/>
      </c>
      <c r="N54" s="24" t="str">
        <f t="shared" si="19"/>
        <v/>
      </c>
      <c r="O54" s="24" t="str">
        <f t="shared" si="20"/>
        <v/>
      </c>
      <c r="P54" s="28" t="str">
        <f t="shared" si="21"/>
        <v/>
      </c>
      <c r="Q54" s="28" t="str">
        <f t="shared" si="22"/>
        <v/>
      </c>
      <c r="R54" s="28" t="str">
        <f t="shared" si="23"/>
        <v/>
      </c>
      <c r="S54" s="28" t="str">
        <f t="shared" si="24"/>
        <v>595 tray</v>
      </c>
      <c r="T54" s="28" t="str">
        <f t="shared" si="25"/>
        <v>YES</v>
      </c>
      <c r="U54" s="28"/>
    </row>
    <row r="55" spans="1:21" ht="20" customHeight="1">
      <c r="A55" s="20">
        <v>47</v>
      </c>
      <c r="B55" s="21"/>
      <c r="C55" s="22"/>
      <c r="D55" s="23" t="str">
        <f t="shared" si="13"/>
        <v/>
      </c>
      <c r="E55" s="23"/>
      <c r="F55" s="24" t="str">
        <f t="shared" si="14"/>
        <v/>
      </c>
      <c r="G55" s="23">
        <v>595</v>
      </c>
      <c r="H55" s="23"/>
      <c r="I55" s="25" t="str">
        <f t="shared" si="15"/>
        <v/>
      </c>
      <c r="J55" s="24" t="str">
        <f t="shared" si="16"/>
        <v/>
      </c>
      <c r="K55" s="23">
        <v>6</v>
      </c>
      <c r="L55" s="25" t="str">
        <f t="shared" si="17"/>
        <v/>
      </c>
      <c r="M55" s="24" t="str">
        <f t="shared" si="18"/>
        <v/>
      </c>
      <c r="N55" s="24" t="str">
        <f t="shared" si="19"/>
        <v/>
      </c>
      <c r="O55" s="24" t="str">
        <f t="shared" si="20"/>
        <v/>
      </c>
      <c r="P55" s="28" t="str">
        <f t="shared" si="21"/>
        <v/>
      </c>
      <c r="Q55" s="28" t="str">
        <f t="shared" si="22"/>
        <v/>
      </c>
      <c r="R55" s="28" t="str">
        <f t="shared" si="23"/>
        <v/>
      </c>
      <c r="S55" s="28" t="str">
        <f t="shared" si="24"/>
        <v>595 tray</v>
      </c>
      <c r="T55" s="28" t="str">
        <f t="shared" si="25"/>
        <v>YES</v>
      </c>
      <c r="U55" s="28"/>
    </row>
    <row r="56" spans="1:21" ht="20" customHeight="1">
      <c r="A56" s="20">
        <v>48</v>
      </c>
      <c r="B56" s="21"/>
      <c r="C56" s="22"/>
      <c r="D56" s="23" t="str">
        <f t="shared" si="13"/>
        <v/>
      </c>
      <c r="E56" s="23"/>
      <c r="F56" s="24" t="str">
        <f t="shared" si="14"/>
        <v/>
      </c>
      <c r="G56" s="23">
        <v>595</v>
      </c>
      <c r="H56" s="23"/>
      <c r="I56" s="25" t="str">
        <f t="shared" si="15"/>
        <v/>
      </c>
      <c r="J56" s="24" t="str">
        <f t="shared" si="16"/>
        <v/>
      </c>
      <c r="K56" s="23">
        <v>6</v>
      </c>
      <c r="L56" s="25" t="str">
        <f t="shared" si="17"/>
        <v/>
      </c>
      <c r="M56" s="24" t="str">
        <f t="shared" si="18"/>
        <v/>
      </c>
      <c r="N56" s="24" t="str">
        <f t="shared" si="19"/>
        <v/>
      </c>
      <c r="O56" s="24" t="str">
        <f t="shared" si="20"/>
        <v/>
      </c>
      <c r="P56" s="28" t="str">
        <f t="shared" si="21"/>
        <v/>
      </c>
      <c r="Q56" s="28" t="str">
        <f t="shared" si="22"/>
        <v/>
      </c>
      <c r="R56" s="28" t="str">
        <f t="shared" si="23"/>
        <v/>
      </c>
      <c r="S56" s="28" t="str">
        <f t="shared" si="24"/>
        <v>595 tray</v>
      </c>
      <c r="T56" s="28" t="str">
        <f t="shared" si="25"/>
        <v>YES</v>
      </c>
      <c r="U56" s="28"/>
    </row>
    <row r="57" spans="1:21" ht="20" customHeight="1">
      <c r="A57" s="20">
        <v>49</v>
      </c>
      <c r="B57" s="21"/>
      <c r="C57" s="22"/>
      <c r="D57" s="23" t="str">
        <f t="shared" si="13"/>
        <v/>
      </c>
      <c r="E57" s="23"/>
      <c r="F57" s="24" t="str">
        <f t="shared" si="14"/>
        <v/>
      </c>
      <c r="G57" s="23">
        <v>595</v>
      </c>
      <c r="H57" s="23"/>
      <c r="I57" s="25" t="str">
        <f t="shared" si="15"/>
        <v/>
      </c>
      <c r="J57" s="24" t="str">
        <f t="shared" si="16"/>
        <v/>
      </c>
      <c r="K57" s="23">
        <v>6</v>
      </c>
      <c r="L57" s="25" t="str">
        <f t="shared" si="17"/>
        <v/>
      </c>
      <c r="M57" s="24" t="str">
        <f t="shared" si="18"/>
        <v/>
      </c>
      <c r="N57" s="24" t="str">
        <f t="shared" si="19"/>
        <v/>
      </c>
      <c r="O57" s="24" t="str">
        <f t="shared" si="20"/>
        <v/>
      </c>
      <c r="P57" s="28" t="str">
        <f t="shared" si="21"/>
        <v/>
      </c>
      <c r="Q57" s="28" t="str">
        <f t="shared" si="22"/>
        <v/>
      </c>
      <c r="R57" s="28" t="str">
        <f t="shared" si="23"/>
        <v/>
      </c>
      <c r="S57" s="28" t="str">
        <f t="shared" si="24"/>
        <v>595 tray</v>
      </c>
      <c r="T57" s="28" t="str">
        <f t="shared" si="25"/>
        <v>YES</v>
      </c>
      <c r="U57" s="28"/>
    </row>
    <row r="58" spans="1:21" ht="20" customHeight="1">
      <c r="A58" s="20">
        <v>50</v>
      </c>
      <c r="B58" s="21"/>
      <c r="C58" s="22"/>
      <c r="D58" s="23" t="str">
        <f t="shared" si="13"/>
        <v/>
      </c>
      <c r="E58" s="23"/>
      <c r="F58" s="24" t="str">
        <f t="shared" si="14"/>
        <v/>
      </c>
      <c r="G58" s="23">
        <v>595</v>
      </c>
      <c r="H58" s="23"/>
      <c r="I58" s="25" t="str">
        <f t="shared" si="15"/>
        <v/>
      </c>
      <c r="J58" s="24" t="str">
        <f t="shared" si="16"/>
        <v/>
      </c>
      <c r="K58" s="23">
        <v>6</v>
      </c>
      <c r="L58" s="25" t="str">
        <f t="shared" si="17"/>
        <v/>
      </c>
      <c r="M58" s="24" t="str">
        <f t="shared" si="18"/>
        <v/>
      </c>
      <c r="N58" s="24" t="str">
        <f t="shared" si="19"/>
        <v/>
      </c>
      <c r="O58" s="24" t="str">
        <f t="shared" si="20"/>
        <v/>
      </c>
      <c r="P58" s="28" t="str">
        <f t="shared" si="21"/>
        <v/>
      </c>
      <c r="Q58" s="28" t="str">
        <f t="shared" si="22"/>
        <v/>
      </c>
      <c r="R58" s="28" t="str">
        <f t="shared" si="23"/>
        <v/>
      </c>
      <c r="S58" s="28" t="str">
        <f t="shared" si="24"/>
        <v>595 tray</v>
      </c>
      <c r="T58" s="28" t="str">
        <f t="shared" si="25"/>
        <v>YES</v>
      </c>
      <c r="U58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5"/>
  <sheetViews>
    <sheetView workbookViewId="0">
      <selection activeCell="Q3" sqref="Q3:R9"/>
    </sheetView>
  </sheetViews>
  <sheetFormatPr defaultRowHeight="14"/>
  <cols>
    <col min="1" max="1" width="33.33203125" customWidth="1"/>
    <col min="2" max="2" width="24" customWidth="1"/>
    <col min="3" max="3" width="14" customWidth="1"/>
    <col min="4" max="4" width="12" customWidth="1"/>
    <col min="5" max="5" width="10" customWidth="1"/>
    <col min="6" max="6" width="13" customWidth="1"/>
    <col min="7" max="7" width="10" customWidth="1"/>
    <col min="8" max="8" width="18" customWidth="1"/>
    <col min="9" max="9" width="13" customWidth="1"/>
    <col min="10" max="10" width="17" customWidth="1"/>
    <col min="11" max="11" width="12" customWidth="1"/>
    <col min="12" max="12" width="14" customWidth="1"/>
    <col min="13" max="13" width="18" customWidth="1"/>
    <col min="14" max="14" width="16" customWidth="1"/>
    <col min="15" max="15" width="17" customWidth="1"/>
    <col min="17" max="18" width="18" customWidth="1"/>
  </cols>
  <sheetData>
    <row r="1" spans="1:21" ht="41.5" customHeight="1">
      <c r="A1" s="4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2"/>
      <c r="Q1" s="2"/>
      <c r="R1" s="2"/>
      <c r="S1" s="2"/>
      <c r="T1" s="2"/>
      <c r="U1" s="2"/>
    </row>
    <row r="2" spans="1:21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</row>
    <row r="3" spans="1:21" ht="42" customHeight="1">
      <c r="A3" s="18" t="s">
        <v>3</v>
      </c>
      <c r="B3" s="18" t="s">
        <v>4</v>
      </c>
      <c r="C3" s="18" t="s">
        <v>30</v>
      </c>
      <c r="D3" s="18" t="s">
        <v>6</v>
      </c>
      <c r="E3" s="18" t="s">
        <v>8</v>
      </c>
      <c r="F3" s="18" t="s">
        <v>7</v>
      </c>
      <c r="G3" s="18" t="s">
        <v>9</v>
      </c>
      <c r="H3" s="18" t="s">
        <v>31</v>
      </c>
      <c r="I3" s="18" t="s">
        <v>32</v>
      </c>
      <c r="J3" s="18" t="s">
        <v>13</v>
      </c>
      <c r="K3" s="18" t="s">
        <v>33</v>
      </c>
      <c r="L3" s="18" t="s">
        <v>34</v>
      </c>
      <c r="M3" s="18" t="s">
        <v>35</v>
      </c>
      <c r="N3" s="18" t="s">
        <v>18</v>
      </c>
      <c r="O3" s="18" t="s">
        <v>22</v>
      </c>
      <c r="Q3" s="27" t="s">
        <v>36</v>
      </c>
      <c r="R3" s="27"/>
    </row>
    <row r="4" spans="1:21" ht="20" customHeight="1">
      <c r="A4" s="12">
        <f>Inputs!A9</f>
        <v>1</v>
      </c>
      <c r="B4" s="30" t="str">
        <f>Inputs!B9</f>
        <v>Begonia 6-pack</v>
      </c>
      <c r="C4" s="22">
        <f>Inputs!C9</f>
        <v>1</v>
      </c>
      <c r="D4" s="24">
        <f>Inputs!D9</f>
        <v>7</v>
      </c>
      <c r="E4" s="24">
        <f>Inputs!F9</f>
        <v>14</v>
      </c>
      <c r="F4" s="24">
        <f>Inputs!E9</f>
        <v>7</v>
      </c>
      <c r="G4" s="24">
        <f>Inputs!G9</f>
        <v>595</v>
      </c>
      <c r="H4" s="24">
        <f>Inputs!H9</f>
        <v>950</v>
      </c>
      <c r="I4" s="24">
        <f>Inputs!J9</f>
        <v>998</v>
      </c>
      <c r="J4" s="24">
        <f>Inputs!K9</f>
        <v>6</v>
      </c>
      <c r="K4" s="31">
        <f>Inputs!L9</f>
        <v>0.9</v>
      </c>
      <c r="L4" s="24">
        <f>Inputs!M9</f>
        <v>6654</v>
      </c>
      <c r="M4" s="24">
        <f>Inputs!N9</f>
        <v>12</v>
      </c>
      <c r="N4" s="24">
        <f>Inputs!Q9</f>
        <v>1071</v>
      </c>
      <c r="O4" s="12" t="str">
        <f>Inputs!U9</f>
        <v>Example</v>
      </c>
      <c r="Q4" s="32" t="s">
        <v>11</v>
      </c>
      <c r="R4" s="33">
        <f>Inputs!$B$4</f>
        <v>0.05</v>
      </c>
    </row>
    <row r="5" spans="1:21" ht="20" customHeight="1">
      <c r="A5" s="12">
        <f>Inputs!A10</f>
        <v>2</v>
      </c>
      <c r="B5" s="30" t="str">
        <f>Inputs!B10</f>
        <v>Petunia 6-pack</v>
      </c>
      <c r="C5" s="22">
        <f>Inputs!C10</f>
        <v>2</v>
      </c>
      <c r="D5" s="24">
        <f>Inputs!D10</f>
        <v>7</v>
      </c>
      <c r="E5" s="24">
        <f>Inputs!F10</f>
        <v>13</v>
      </c>
      <c r="F5" s="24">
        <f>Inputs!E10</f>
        <v>6</v>
      </c>
      <c r="G5" s="24">
        <f>Inputs!G10</f>
        <v>595</v>
      </c>
      <c r="H5" s="24">
        <f>Inputs!H10</f>
        <v>1200</v>
      </c>
      <c r="I5" s="24">
        <f>Inputs!J10</f>
        <v>1260</v>
      </c>
      <c r="J5" s="24">
        <f>Inputs!K10</f>
        <v>6</v>
      </c>
      <c r="K5" s="31">
        <f>Inputs!L10</f>
        <v>0.9</v>
      </c>
      <c r="L5" s="24">
        <f>Inputs!M10</f>
        <v>8400</v>
      </c>
      <c r="M5" s="24">
        <f>Inputs!N10</f>
        <v>15</v>
      </c>
      <c r="N5" s="24">
        <f>Inputs!Q10</f>
        <v>1338</v>
      </c>
      <c r="O5" s="12" t="str">
        <f>Inputs!U10</f>
        <v>Example</v>
      </c>
      <c r="Q5" s="32" t="s">
        <v>37</v>
      </c>
      <c r="R5" s="28">
        <f>SUM(L4:L53)</f>
        <v>21765</v>
      </c>
    </row>
    <row r="6" spans="1:21" ht="20" customHeight="1">
      <c r="A6" s="12">
        <f>Inputs!A11</f>
        <v>3</v>
      </c>
      <c r="B6" s="30" t="str">
        <f>Inputs!B11</f>
        <v>Marigold 6-pack</v>
      </c>
      <c r="C6" s="22">
        <f>Inputs!C11</f>
        <v>3</v>
      </c>
      <c r="D6" s="24">
        <f>Inputs!D11</f>
        <v>7</v>
      </c>
      <c r="E6" s="24">
        <f>Inputs!F11</f>
        <v>12</v>
      </c>
      <c r="F6" s="24">
        <f>Inputs!E11</f>
        <v>5</v>
      </c>
      <c r="G6" s="24">
        <f>Inputs!G11</f>
        <v>595</v>
      </c>
      <c r="H6" s="24">
        <f>Inputs!H11</f>
        <v>800</v>
      </c>
      <c r="I6" s="24">
        <f>Inputs!J11</f>
        <v>840</v>
      </c>
      <c r="J6" s="24">
        <f>Inputs!K11</f>
        <v>6</v>
      </c>
      <c r="K6" s="31">
        <f>Inputs!L11</f>
        <v>0.9</v>
      </c>
      <c r="L6" s="24">
        <f>Inputs!M11</f>
        <v>5600</v>
      </c>
      <c r="M6" s="24">
        <f>Inputs!N11</f>
        <v>10</v>
      </c>
      <c r="N6" s="24">
        <f>Inputs!Q11</f>
        <v>892</v>
      </c>
      <c r="O6" s="12" t="str">
        <f>Inputs!U11</f>
        <v>Example</v>
      </c>
      <c r="Q6" s="32" t="s">
        <v>38</v>
      </c>
      <c r="R6" s="28">
        <f>SUMIF(G4:G53,595,M4:M53)</f>
        <v>37</v>
      </c>
    </row>
    <row r="7" spans="1:21" ht="20" customHeight="1">
      <c r="A7" s="12">
        <f>Inputs!A12</f>
        <v>4</v>
      </c>
      <c r="B7" s="30" t="str">
        <f>Inputs!B12</f>
        <v>Petunia colour pot</v>
      </c>
      <c r="C7" s="22">
        <f>Inputs!C12</f>
        <v>4</v>
      </c>
      <c r="D7" s="24">
        <f>Inputs!D12</f>
        <v>7</v>
      </c>
      <c r="E7" s="24">
        <f>Inputs!F12</f>
        <v>13</v>
      </c>
      <c r="F7" s="24">
        <f>Inputs!E12</f>
        <v>6</v>
      </c>
      <c r="G7" s="24">
        <f>Inputs!G12</f>
        <v>512</v>
      </c>
      <c r="H7" s="24">
        <f>Inputs!H12</f>
        <v>350</v>
      </c>
      <c r="I7" s="24">
        <f>Inputs!J12</f>
        <v>368</v>
      </c>
      <c r="J7" s="24">
        <f>Inputs!K12</f>
        <v>2</v>
      </c>
      <c r="K7" s="31">
        <f>Inputs!L12</f>
        <v>0.9</v>
      </c>
      <c r="L7" s="24">
        <f>Inputs!M12</f>
        <v>818</v>
      </c>
      <c r="M7" s="24">
        <f>Inputs!N12</f>
        <v>2</v>
      </c>
      <c r="N7" s="24">
        <f>Inputs!Q12</f>
        <v>461</v>
      </c>
      <c r="O7" s="12" t="str">
        <f>Inputs!U12</f>
        <v>Example</v>
      </c>
      <c r="Q7" s="32" t="s">
        <v>39</v>
      </c>
      <c r="R7" s="28">
        <f>SUMIF(G4:G53,512,M4:M53)</f>
        <v>2</v>
      </c>
    </row>
    <row r="8" spans="1:21" ht="20" customHeight="1">
      <c r="A8" s="12">
        <f>Inputs!A13</f>
        <v>5</v>
      </c>
      <c r="B8" s="30" t="str">
        <f>Inputs!B13</f>
        <v>Dianthus perennial pot</v>
      </c>
      <c r="C8" s="22">
        <f>Inputs!C13</f>
        <v>5</v>
      </c>
      <c r="D8" s="24">
        <f>Inputs!D13</f>
        <v>7</v>
      </c>
      <c r="E8" s="24">
        <f>Inputs!F13</f>
        <v>15</v>
      </c>
      <c r="F8" s="24">
        <f>Inputs!E13</f>
        <v>8</v>
      </c>
      <c r="G8" s="24">
        <f>Inputs!G13</f>
        <v>128</v>
      </c>
      <c r="H8" s="24">
        <f>Inputs!H13</f>
        <v>250</v>
      </c>
      <c r="I8" s="24">
        <f>Inputs!J13</f>
        <v>263</v>
      </c>
      <c r="J8" s="24">
        <f>Inputs!K13</f>
        <v>1</v>
      </c>
      <c r="K8" s="31">
        <f>Inputs!L13</f>
        <v>0.9</v>
      </c>
      <c r="L8" s="24">
        <f>Inputs!M13</f>
        <v>293</v>
      </c>
      <c r="M8" s="24">
        <f>Inputs!N13</f>
        <v>3</v>
      </c>
      <c r="N8" s="24">
        <f>Inputs!Q13</f>
        <v>346</v>
      </c>
      <c r="O8" s="12" t="str">
        <f>Inputs!U13</f>
        <v>Example</v>
      </c>
      <c r="Q8" s="32" t="s">
        <v>40</v>
      </c>
      <c r="R8" s="28">
        <f>SUMIF(G4:G53,128,M4:M53)</f>
        <v>3</v>
      </c>
    </row>
    <row r="9" spans="1:21" ht="20" customHeight="1">
      <c r="A9" s="12">
        <f>Inputs!A14</f>
        <v>6</v>
      </c>
      <c r="B9" s="30">
        <f>Inputs!B14</f>
        <v>0</v>
      </c>
      <c r="C9" s="22">
        <f>Inputs!C14</f>
        <v>0</v>
      </c>
      <c r="D9" s="24" t="str">
        <f>Inputs!D14</f>
        <v/>
      </c>
      <c r="E9" s="24" t="str">
        <f>Inputs!F14</f>
        <v/>
      </c>
      <c r="F9" s="24">
        <f>Inputs!E14</f>
        <v>0</v>
      </c>
      <c r="G9" s="24">
        <f>Inputs!G14</f>
        <v>595</v>
      </c>
      <c r="H9" s="24">
        <f>Inputs!H14</f>
        <v>0</v>
      </c>
      <c r="I9" s="24" t="str">
        <f>Inputs!J14</f>
        <v/>
      </c>
      <c r="J9" s="24">
        <f>Inputs!K14</f>
        <v>6</v>
      </c>
      <c r="K9" s="31" t="str">
        <f>Inputs!L14</f>
        <v/>
      </c>
      <c r="L9" s="24" t="str">
        <f>Inputs!M14</f>
        <v/>
      </c>
      <c r="M9" s="24" t="str">
        <f>Inputs!N14</f>
        <v/>
      </c>
      <c r="N9" s="24" t="str">
        <f>Inputs!Q14</f>
        <v/>
      </c>
      <c r="O9" s="12">
        <f>Inputs!U14</f>
        <v>0</v>
      </c>
      <c r="Q9" s="32" t="s">
        <v>41</v>
      </c>
      <c r="R9" s="28">
        <f>SUM(N4:N53)</f>
        <v>4108</v>
      </c>
    </row>
    <row r="10" spans="1:21" ht="20" customHeight="1">
      <c r="A10" s="12">
        <f>Inputs!A15</f>
        <v>7</v>
      </c>
      <c r="B10" s="30">
        <f>Inputs!B15</f>
        <v>0</v>
      </c>
      <c r="C10" s="22">
        <f>Inputs!C15</f>
        <v>0</v>
      </c>
      <c r="D10" s="24" t="str">
        <f>Inputs!D15</f>
        <v/>
      </c>
      <c r="E10" s="24" t="str">
        <f>Inputs!F15</f>
        <v/>
      </c>
      <c r="F10" s="24">
        <f>Inputs!E15</f>
        <v>0</v>
      </c>
      <c r="G10" s="24">
        <f>Inputs!G15</f>
        <v>595</v>
      </c>
      <c r="H10" s="24">
        <f>Inputs!H15</f>
        <v>0</v>
      </c>
      <c r="I10" s="24" t="str">
        <f>Inputs!J15</f>
        <v/>
      </c>
      <c r="J10" s="24">
        <f>Inputs!K15</f>
        <v>6</v>
      </c>
      <c r="K10" s="31" t="str">
        <f>Inputs!L15</f>
        <v/>
      </c>
      <c r="L10" s="24" t="str">
        <f>Inputs!M15</f>
        <v/>
      </c>
      <c r="M10" s="24" t="str">
        <f>Inputs!N15</f>
        <v/>
      </c>
      <c r="N10" s="24" t="str">
        <f>Inputs!Q15</f>
        <v/>
      </c>
      <c r="O10" s="12">
        <f>Inputs!U15</f>
        <v>0</v>
      </c>
    </row>
    <row r="11" spans="1:21" ht="20" customHeight="1">
      <c r="A11" s="12">
        <f>Inputs!A16</f>
        <v>8</v>
      </c>
      <c r="B11" s="30">
        <f>Inputs!B16</f>
        <v>0</v>
      </c>
      <c r="C11" s="22">
        <f>Inputs!C16</f>
        <v>0</v>
      </c>
      <c r="D11" s="24" t="str">
        <f>Inputs!D16</f>
        <v/>
      </c>
      <c r="E11" s="24" t="str">
        <f>Inputs!F16</f>
        <v/>
      </c>
      <c r="F11" s="24">
        <f>Inputs!E16</f>
        <v>0</v>
      </c>
      <c r="G11" s="24">
        <f>Inputs!G16</f>
        <v>595</v>
      </c>
      <c r="H11" s="24">
        <f>Inputs!H16</f>
        <v>0</v>
      </c>
      <c r="I11" s="24" t="str">
        <f>Inputs!J16</f>
        <v/>
      </c>
      <c r="J11" s="24">
        <f>Inputs!K16</f>
        <v>6</v>
      </c>
      <c r="K11" s="31" t="str">
        <f>Inputs!L16</f>
        <v/>
      </c>
      <c r="L11" s="24" t="str">
        <f>Inputs!M16</f>
        <v/>
      </c>
      <c r="M11" s="24" t="str">
        <f>Inputs!N16</f>
        <v/>
      </c>
      <c r="N11" s="24" t="str">
        <f>Inputs!Q16</f>
        <v/>
      </c>
      <c r="O11" s="12">
        <f>Inputs!U16</f>
        <v>0</v>
      </c>
    </row>
    <row r="12" spans="1:21" ht="20" customHeight="1">
      <c r="A12" s="12">
        <f>Inputs!A17</f>
        <v>9</v>
      </c>
      <c r="B12" s="30">
        <f>Inputs!B17</f>
        <v>0</v>
      </c>
      <c r="C12" s="22">
        <f>Inputs!C17</f>
        <v>0</v>
      </c>
      <c r="D12" s="24" t="str">
        <f>Inputs!D17</f>
        <v/>
      </c>
      <c r="E12" s="24" t="str">
        <f>Inputs!F17</f>
        <v/>
      </c>
      <c r="F12" s="24">
        <f>Inputs!E17</f>
        <v>0</v>
      </c>
      <c r="G12" s="24">
        <f>Inputs!G17</f>
        <v>595</v>
      </c>
      <c r="H12" s="24">
        <f>Inputs!H17</f>
        <v>0</v>
      </c>
      <c r="I12" s="24" t="str">
        <f>Inputs!J17</f>
        <v/>
      </c>
      <c r="J12" s="24">
        <f>Inputs!K17</f>
        <v>6</v>
      </c>
      <c r="K12" s="31" t="str">
        <f>Inputs!L17</f>
        <v/>
      </c>
      <c r="L12" s="24" t="str">
        <f>Inputs!M17</f>
        <v/>
      </c>
      <c r="M12" s="24" t="str">
        <f>Inputs!N17</f>
        <v/>
      </c>
      <c r="N12" s="24" t="str">
        <f>Inputs!Q17</f>
        <v/>
      </c>
      <c r="O12" s="12">
        <f>Inputs!U17</f>
        <v>0</v>
      </c>
    </row>
    <row r="13" spans="1:21" ht="20" customHeight="1">
      <c r="A13" s="12">
        <f>Inputs!A18</f>
        <v>10</v>
      </c>
      <c r="B13" s="30">
        <f>Inputs!B18</f>
        <v>0</v>
      </c>
      <c r="C13" s="22">
        <f>Inputs!C18</f>
        <v>0</v>
      </c>
      <c r="D13" s="24" t="str">
        <f>Inputs!D18</f>
        <v/>
      </c>
      <c r="E13" s="24" t="str">
        <f>Inputs!F18</f>
        <v/>
      </c>
      <c r="F13" s="24">
        <f>Inputs!E18</f>
        <v>0</v>
      </c>
      <c r="G13" s="24">
        <f>Inputs!G18</f>
        <v>595</v>
      </c>
      <c r="H13" s="24">
        <f>Inputs!H18</f>
        <v>0</v>
      </c>
      <c r="I13" s="24" t="str">
        <f>Inputs!J18</f>
        <v/>
      </c>
      <c r="J13" s="24">
        <f>Inputs!K18</f>
        <v>6</v>
      </c>
      <c r="K13" s="31" t="str">
        <f>Inputs!L18</f>
        <v/>
      </c>
      <c r="L13" s="24" t="str">
        <f>Inputs!M18</f>
        <v/>
      </c>
      <c r="M13" s="24" t="str">
        <f>Inputs!N18</f>
        <v/>
      </c>
      <c r="N13" s="24" t="str">
        <f>Inputs!Q18</f>
        <v/>
      </c>
      <c r="O13" s="12">
        <f>Inputs!U18</f>
        <v>0</v>
      </c>
    </row>
    <row r="14" spans="1:21" ht="20" customHeight="1">
      <c r="A14" s="12">
        <f>Inputs!A19</f>
        <v>11</v>
      </c>
      <c r="B14" s="30">
        <f>Inputs!B19</f>
        <v>0</v>
      </c>
      <c r="C14" s="22">
        <f>Inputs!C19</f>
        <v>0</v>
      </c>
      <c r="D14" s="24" t="str">
        <f>Inputs!D19</f>
        <v/>
      </c>
      <c r="E14" s="24" t="str">
        <f>Inputs!F19</f>
        <v/>
      </c>
      <c r="F14" s="24">
        <f>Inputs!E19</f>
        <v>0</v>
      </c>
      <c r="G14" s="24">
        <f>Inputs!G19</f>
        <v>595</v>
      </c>
      <c r="H14" s="24">
        <f>Inputs!H19</f>
        <v>0</v>
      </c>
      <c r="I14" s="24" t="str">
        <f>Inputs!J19</f>
        <v/>
      </c>
      <c r="J14" s="24">
        <f>Inputs!K19</f>
        <v>6</v>
      </c>
      <c r="K14" s="31" t="str">
        <f>Inputs!L19</f>
        <v/>
      </c>
      <c r="L14" s="24" t="str">
        <f>Inputs!M19</f>
        <v/>
      </c>
      <c r="M14" s="24" t="str">
        <f>Inputs!N19</f>
        <v/>
      </c>
      <c r="N14" s="24" t="str">
        <f>Inputs!Q19</f>
        <v/>
      </c>
      <c r="O14" s="12">
        <f>Inputs!U19</f>
        <v>0</v>
      </c>
    </row>
    <row r="15" spans="1:21" ht="20" customHeight="1">
      <c r="A15" s="12">
        <f>Inputs!A20</f>
        <v>12</v>
      </c>
      <c r="B15" s="30">
        <f>Inputs!B20</f>
        <v>0</v>
      </c>
      <c r="C15" s="22">
        <f>Inputs!C20</f>
        <v>0</v>
      </c>
      <c r="D15" s="24" t="str">
        <f>Inputs!D20</f>
        <v/>
      </c>
      <c r="E15" s="24" t="str">
        <f>Inputs!F20</f>
        <v/>
      </c>
      <c r="F15" s="24">
        <f>Inputs!E20</f>
        <v>0</v>
      </c>
      <c r="G15" s="24">
        <f>Inputs!G20</f>
        <v>595</v>
      </c>
      <c r="H15" s="24">
        <f>Inputs!H20</f>
        <v>0</v>
      </c>
      <c r="I15" s="24" t="str">
        <f>Inputs!J20</f>
        <v/>
      </c>
      <c r="J15" s="24">
        <f>Inputs!K20</f>
        <v>6</v>
      </c>
      <c r="K15" s="31" t="str">
        <f>Inputs!L20</f>
        <v/>
      </c>
      <c r="L15" s="24" t="str">
        <f>Inputs!M20</f>
        <v/>
      </c>
      <c r="M15" s="24" t="str">
        <f>Inputs!N20</f>
        <v/>
      </c>
      <c r="N15" s="24" t="str">
        <f>Inputs!Q20</f>
        <v/>
      </c>
      <c r="O15" s="12">
        <f>Inputs!U20</f>
        <v>0</v>
      </c>
    </row>
    <row r="16" spans="1:21" ht="20" customHeight="1">
      <c r="A16" s="12">
        <f>Inputs!A21</f>
        <v>13</v>
      </c>
      <c r="B16" s="30">
        <f>Inputs!B21</f>
        <v>0</v>
      </c>
      <c r="C16" s="22">
        <f>Inputs!C21</f>
        <v>0</v>
      </c>
      <c r="D16" s="24" t="str">
        <f>Inputs!D21</f>
        <v/>
      </c>
      <c r="E16" s="24" t="str">
        <f>Inputs!F21</f>
        <v/>
      </c>
      <c r="F16" s="24">
        <f>Inputs!E21</f>
        <v>0</v>
      </c>
      <c r="G16" s="24">
        <f>Inputs!G21</f>
        <v>595</v>
      </c>
      <c r="H16" s="24">
        <f>Inputs!H21</f>
        <v>0</v>
      </c>
      <c r="I16" s="24" t="str">
        <f>Inputs!J21</f>
        <v/>
      </c>
      <c r="J16" s="24">
        <f>Inputs!K21</f>
        <v>6</v>
      </c>
      <c r="K16" s="31" t="str">
        <f>Inputs!L21</f>
        <v/>
      </c>
      <c r="L16" s="24" t="str">
        <f>Inputs!M21</f>
        <v/>
      </c>
      <c r="M16" s="24" t="str">
        <f>Inputs!N21</f>
        <v/>
      </c>
      <c r="N16" s="24" t="str">
        <f>Inputs!Q21</f>
        <v/>
      </c>
      <c r="O16" s="12">
        <f>Inputs!U21</f>
        <v>0</v>
      </c>
    </row>
    <row r="17" spans="1:15" ht="20" customHeight="1">
      <c r="A17" s="12">
        <f>Inputs!A22</f>
        <v>14</v>
      </c>
      <c r="B17" s="30">
        <f>Inputs!B22</f>
        <v>0</v>
      </c>
      <c r="C17" s="22">
        <f>Inputs!C22</f>
        <v>0</v>
      </c>
      <c r="D17" s="24" t="str">
        <f>Inputs!D22</f>
        <v/>
      </c>
      <c r="E17" s="24" t="str">
        <f>Inputs!F22</f>
        <v/>
      </c>
      <c r="F17" s="24">
        <f>Inputs!E22</f>
        <v>0</v>
      </c>
      <c r="G17" s="24">
        <f>Inputs!G22</f>
        <v>595</v>
      </c>
      <c r="H17" s="24">
        <f>Inputs!H22</f>
        <v>0</v>
      </c>
      <c r="I17" s="24" t="str">
        <f>Inputs!J22</f>
        <v/>
      </c>
      <c r="J17" s="24">
        <f>Inputs!K22</f>
        <v>6</v>
      </c>
      <c r="K17" s="31" t="str">
        <f>Inputs!L22</f>
        <v/>
      </c>
      <c r="L17" s="24" t="str">
        <f>Inputs!M22</f>
        <v/>
      </c>
      <c r="M17" s="24" t="str">
        <f>Inputs!N22</f>
        <v/>
      </c>
      <c r="N17" s="24" t="str">
        <f>Inputs!Q22</f>
        <v/>
      </c>
      <c r="O17" s="12">
        <f>Inputs!U22</f>
        <v>0</v>
      </c>
    </row>
    <row r="18" spans="1:15" ht="20" customHeight="1">
      <c r="A18" s="12">
        <f>Inputs!A23</f>
        <v>15</v>
      </c>
      <c r="B18" s="30">
        <f>Inputs!B23</f>
        <v>0</v>
      </c>
      <c r="C18" s="22">
        <f>Inputs!C23</f>
        <v>0</v>
      </c>
      <c r="D18" s="24" t="str">
        <f>Inputs!D23</f>
        <v/>
      </c>
      <c r="E18" s="24" t="str">
        <f>Inputs!F23</f>
        <v/>
      </c>
      <c r="F18" s="24">
        <f>Inputs!E23</f>
        <v>0</v>
      </c>
      <c r="G18" s="24">
        <f>Inputs!G23</f>
        <v>595</v>
      </c>
      <c r="H18" s="24">
        <f>Inputs!H23</f>
        <v>0</v>
      </c>
      <c r="I18" s="24" t="str">
        <f>Inputs!J23</f>
        <v/>
      </c>
      <c r="J18" s="24">
        <f>Inputs!K23</f>
        <v>6</v>
      </c>
      <c r="K18" s="31" t="str">
        <f>Inputs!L23</f>
        <v/>
      </c>
      <c r="L18" s="24" t="str">
        <f>Inputs!M23</f>
        <v/>
      </c>
      <c r="M18" s="24" t="str">
        <f>Inputs!N23</f>
        <v/>
      </c>
      <c r="N18" s="24" t="str">
        <f>Inputs!Q23</f>
        <v/>
      </c>
      <c r="O18" s="12">
        <f>Inputs!U23</f>
        <v>0</v>
      </c>
    </row>
    <row r="19" spans="1:15" ht="20" customHeight="1">
      <c r="A19" s="12">
        <f>Inputs!A24</f>
        <v>16</v>
      </c>
      <c r="B19" s="30">
        <f>Inputs!B24</f>
        <v>0</v>
      </c>
      <c r="C19" s="22">
        <f>Inputs!C24</f>
        <v>0</v>
      </c>
      <c r="D19" s="24" t="str">
        <f>Inputs!D24</f>
        <v/>
      </c>
      <c r="E19" s="24" t="str">
        <f>Inputs!F24</f>
        <v/>
      </c>
      <c r="F19" s="24">
        <f>Inputs!E24</f>
        <v>0</v>
      </c>
      <c r="G19" s="24">
        <f>Inputs!G24</f>
        <v>595</v>
      </c>
      <c r="H19" s="24">
        <f>Inputs!H24</f>
        <v>0</v>
      </c>
      <c r="I19" s="24" t="str">
        <f>Inputs!J24</f>
        <v/>
      </c>
      <c r="J19" s="24">
        <f>Inputs!K24</f>
        <v>6</v>
      </c>
      <c r="K19" s="31" t="str">
        <f>Inputs!L24</f>
        <v/>
      </c>
      <c r="L19" s="24" t="str">
        <f>Inputs!M24</f>
        <v/>
      </c>
      <c r="M19" s="24" t="str">
        <f>Inputs!N24</f>
        <v/>
      </c>
      <c r="N19" s="24" t="str">
        <f>Inputs!Q24</f>
        <v/>
      </c>
      <c r="O19" s="12">
        <f>Inputs!U24</f>
        <v>0</v>
      </c>
    </row>
    <row r="20" spans="1:15" ht="20" customHeight="1">
      <c r="A20" s="12">
        <f>Inputs!A25</f>
        <v>17</v>
      </c>
      <c r="B20" s="30">
        <f>Inputs!B25</f>
        <v>0</v>
      </c>
      <c r="C20" s="22">
        <f>Inputs!C25</f>
        <v>0</v>
      </c>
      <c r="D20" s="24" t="str">
        <f>Inputs!D25</f>
        <v/>
      </c>
      <c r="E20" s="24" t="str">
        <f>Inputs!F25</f>
        <v/>
      </c>
      <c r="F20" s="24">
        <f>Inputs!E25</f>
        <v>0</v>
      </c>
      <c r="G20" s="24">
        <f>Inputs!G25</f>
        <v>595</v>
      </c>
      <c r="H20" s="24">
        <f>Inputs!H25</f>
        <v>0</v>
      </c>
      <c r="I20" s="24" t="str">
        <f>Inputs!J25</f>
        <v/>
      </c>
      <c r="J20" s="24">
        <f>Inputs!K25</f>
        <v>6</v>
      </c>
      <c r="K20" s="31" t="str">
        <f>Inputs!L25</f>
        <v/>
      </c>
      <c r="L20" s="24" t="str">
        <f>Inputs!M25</f>
        <v/>
      </c>
      <c r="M20" s="24" t="str">
        <f>Inputs!N25</f>
        <v/>
      </c>
      <c r="N20" s="24" t="str">
        <f>Inputs!Q25</f>
        <v/>
      </c>
      <c r="O20" s="12">
        <f>Inputs!U25</f>
        <v>0</v>
      </c>
    </row>
    <row r="21" spans="1:15" ht="20" customHeight="1">
      <c r="A21" s="12">
        <f>Inputs!A26</f>
        <v>18</v>
      </c>
      <c r="B21" s="30">
        <f>Inputs!B26</f>
        <v>0</v>
      </c>
      <c r="C21" s="22">
        <f>Inputs!C26</f>
        <v>0</v>
      </c>
      <c r="D21" s="24" t="str">
        <f>Inputs!D26</f>
        <v/>
      </c>
      <c r="E21" s="24" t="str">
        <f>Inputs!F26</f>
        <v/>
      </c>
      <c r="F21" s="24">
        <f>Inputs!E26</f>
        <v>0</v>
      </c>
      <c r="G21" s="24">
        <f>Inputs!G26</f>
        <v>595</v>
      </c>
      <c r="H21" s="24">
        <f>Inputs!H26</f>
        <v>0</v>
      </c>
      <c r="I21" s="24" t="str">
        <f>Inputs!J26</f>
        <v/>
      </c>
      <c r="J21" s="24">
        <f>Inputs!K26</f>
        <v>6</v>
      </c>
      <c r="K21" s="31" t="str">
        <f>Inputs!L26</f>
        <v/>
      </c>
      <c r="L21" s="24" t="str">
        <f>Inputs!M26</f>
        <v/>
      </c>
      <c r="M21" s="24" t="str">
        <f>Inputs!N26</f>
        <v/>
      </c>
      <c r="N21" s="24" t="str">
        <f>Inputs!Q26</f>
        <v/>
      </c>
      <c r="O21" s="12">
        <f>Inputs!U26</f>
        <v>0</v>
      </c>
    </row>
    <row r="22" spans="1:15" ht="20" customHeight="1">
      <c r="A22" s="12">
        <f>Inputs!A27</f>
        <v>19</v>
      </c>
      <c r="B22" s="30">
        <f>Inputs!B27</f>
        <v>0</v>
      </c>
      <c r="C22" s="22">
        <f>Inputs!C27</f>
        <v>0</v>
      </c>
      <c r="D22" s="24" t="str">
        <f>Inputs!D27</f>
        <v/>
      </c>
      <c r="E22" s="24" t="str">
        <f>Inputs!F27</f>
        <v/>
      </c>
      <c r="F22" s="24">
        <f>Inputs!E27</f>
        <v>0</v>
      </c>
      <c r="G22" s="24">
        <f>Inputs!G27</f>
        <v>595</v>
      </c>
      <c r="H22" s="24">
        <f>Inputs!H27</f>
        <v>0</v>
      </c>
      <c r="I22" s="24" t="str">
        <f>Inputs!J27</f>
        <v/>
      </c>
      <c r="J22" s="24">
        <f>Inputs!K27</f>
        <v>6</v>
      </c>
      <c r="K22" s="31" t="str">
        <f>Inputs!L27</f>
        <v/>
      </c>
      <c r="L22" s="24" t="str">
        <f>Inputs!M27</f>
        <v/>
      </c>
      <c r="M22" s="24" t="str">
        <f>Inputs!N27</f>
        <v/>
      </c>
      <c r="N22" s="24" t="str">
        <f>Inputs!Q27</f>
        <v/>
      </c>
      <c r="O22" s="12">
        <f>Inputs!U27</f>
        <v>0</v>
      </c>
    </row>
    <row r="23" spans="1:15" ht="20" customHeight="1">
      <c r="A23" s="12">
        <f>Inputs!A28</f>
        <v>20</v>
      </c>
      <c r="B23" s="30">
        <f>Inputs!B28</f>
        <v>0</v>
      </c>
      <c r="C23" s="22">
        <f>Inputs!C28</f>
        <v>0</v>
      </c>
      <c r="D23" s="24" t="str">
        <f>Inputs!D28</f>
        <v/>
      </c>
      <c r="E23" s="24" t="str">
        <f>Inputs!F28</f>
        <v/>
      </c>
      <c r="F23" s="24">
        <f>Inputs!E28</f>
        <v>0</v>
      </c>
      <c r="G23" s="24">
        <f>Inputs!G28</f>
        <v>595</v>
      </c>
      <c r="H23" s="24">
        <f>Inputs!H28</f>
        <v>0</v>
      </c>
      <c r="I23" s="24" t="str">
        <f>Inputs!J28</f>
        <v/>
      </c>
      <c r="J23" s="24">
        <f>Inputs!K28</f>
        <v>6</v>
      </c>
      <c r="K23" s="31" t="str">
        <f>Inputs!L28</f>
        <v/>
      </c>
      <c r="L23" s="24" t="str">
        <f>Inputs!M28</f>
        <v/>
      </c>
      <c r="M23" s="24" t="str">
        <f>Inputs!N28</f>
        <v/>
      </c>
      <c r="N23" s="24" t="str">
        <f>Inputs!Q28</f>
        <v/>
      </c>
      <c r="O23" s="12">
        <f>Inputs!U28</f>
        <v>0</v>
      </c>
    </row>
    <row r="24" spans="1:15" ht="20" customHeight="1">
      <c r="A24" s="12">
        <f>Inputs!A29</f>
        <v>21</v>
      </c>
      <c r="B24" s="30">
        <f>Inputs!B29</f>
        <v>0</v>
      </c>
      <c r="C24" s="22">
        <f>Inputs!C29</f>
        <v>0</v>
      </c>
      <c r="D24" s="24" t="str">
        <f>Inputs!D29</f>
        <v/>
      </c>
      <c r="E24" s="24" t="str">
        <f>Inputs!F29</f>
        <v/>
      </c>
      <c r="F24" s="24">
        <f>Inputs!E29</f>
        <v>0</v>
      </c>
      <c r="G24" s="24">
        <f>Inputs!G29</f>
        <v>595</v>
      </c>
      <c r="H24" s="24">
        <f>Inputs!H29</f>
        <v>0</v>
      </c>
      <c r="I24" s="24" t="str">
        <f>Inputs!J29</f>
        <v/>
      </c>
      <c r="J24" s="24">
        <f>Inputs!K29</f>
        <v>6</v>
      </c>
      <c r="K24" s="31" t="str">
        <f>Inputs!L29</f>
        <v/>
      </c>
      <c r="L24" s="24" t="str">
        <f>Inputs!M29</f>
        <v/>
      </c>
      <c r="M24" s="24" t="str">
        <f>Inputs!N29</f>
        <v/>
      </c>
      <c r="N24" s="24" t="str">
        <f>Inputs!Q29</f>
        <v/>
      </c>
      <c r="O24" s="12">
        <f>Inputs!U29</f>
        <v>0</v>
      </c>
    </row>
    <row r="25" spans="1:15" ht="20" customHeight="1">
      <c r="A25" s="12">
        <f>Inputs!A30</f>
        <v>22</v>
      </c>
      <c r="B25" s="30">
        <f>Inputs!B30</f>
        <v>0</v>
      </c>
      <c r="C25" s="22">
        <f>Inputs!C30</f>
        <v>0</v>
      </c>
      <c r="D25" s="24" t="str">
        <f>Inputs!D30</f>
        <v/>
      </c>
      <c r="E25" s="24" t="str">
        <f>Inputs!F30</f>
        <v/>
      </c>
      <c r="F25" s="24">
        <f>Inputs!E30</f>
        <v>0</v>
      </c>
      <c r="G25" s="24">
        <f>Inputs!G30</f>
        <v>595</v>
      </c>
      <c r="H25" s="24">
        <f>Inputs!H30</f>
        <v>0</v>
      </c>
      <c r="I25" s="24" t="str">
        <f>Inputs!J30</f>
        <v/>
      </c>
      <c r="J25" s="24">
        <f>Inputs!K30</f>
        <v>6</v>
      </c>
      <c r="K25" s="31" t="str">
        <f>Inputs!L30</f>
        <v/>
      </c>
      <c r="L25" s="24" t="str">
        <f>Inputs!M30</f>
        <v/>
      </c>
      <c r="M25" s="24" t="str">
        <f>Inputs!N30</f>
        <v/>
      </c>
      <c r="N25" s="24" t="str">
        <f>Inputs!Q30</f>
        <v/>
      </c>
      <c r="O25" s="12">
        <f>Inputs!U30</f>
        <v>0</v>
      </c>
    </row>
    <row r="26" spans="1:15" ht="20" customHeight="1">
      <c r="A26" s="12">
        <f>Inputs!A31</f>
        <v>23</v>
      </c>
      <c r="B26" s="30">
        <f>Inputs!B31</f>
        <v>0</v>
      </c>
      <c r="C26" s="22">
        <f>Inputs!C31</f>
        <v>0</v>
      </c>
      <c r="D26" s="24" t="str">
        <f>Inputs!D31</f>
        <v/>
      </c>
      <c r="E26" s="24" t="str">
        <f>Inputs!F31</f>
        <v/>
      </c>
      <c r="F26" s="24">
        <f>Inputs!E31</f>
        <v>0</v>
      </c>
      <c r="G26" s="24">
        <f>Inputs!G31</f>
        <v>595</v>
      </c>
      <c r="H26" s="24">
        <f>Inputs!H31</f>
        <v>0</v>
      </c>
      <c r="I26" s="24" t="str">
        <f>Inputs!J31</f>
        <v/>
      </c>
      <c r="J26" s="24">
        <f>Inputs!K31</f>
        <v>6</v>
      </c>
      <c r="K26" s="31" t="str">
        <f>Inputs!L31</f>
        <v/>
      </c>
      <c r="L26" s="24" t="str">
        <f>Inputs!M31</f>
        <v/>
      </c>
      <c r="M26" s="24" t="str">
        <f>Inputs!N31</f>
        <v/>
      </c>
      <c r="N26" s="24" t="str">
        <f>Inputs!Q31</f>
        <v/>
      </c>
      <c r="O26" s="12">
        <f>Inputs!U31</f>
        <v>0</v>
      </c>
    </row>
    <row r="27" spans="1:15" ht="20" customHeight="1">
      <c r="A27" s="12">
        <f>Inputs!A32</f>
        <v>24</v>
      </c>
      <c r="B27" s="30">
        <f>Inputs!B32</f>
        <v>0</v>
      </c>
      <c r="C27" s="22">
        <f>Inputs!C32</f>
        <v>0</v>
      </c>
      <c r="D27" s="24" t="str">
        <f>Inputs!D32</f>
        <v/>
      </c>
      <c r="E27" s="24" t="str">
        <f>Inputs!F32</f>
        <v/>
      </c>
      <c r="F27" s="24">
        <f>Inputs!E32</f>
        <v>0</v>
      </c>
      <c r="G27" s="24">
        <f>Inputs!G32</f>
        <v>595</v>
      </c>
      <c r="H27" s="24">
        <f>Inputs!H32</f>
        <v>0</v>
      </c>
      <c r="I27" s="24" t="str">
        <f>Inputs!J32</f>
        <v/>
      </c>
      <c r="J27" s="24">
        <f>Inputs!K32</f>
        <v>6</v>
      </c>
      <c r="K27" s="31" t="str">
        <f>Inputs!L32</f>
        <v/>
      </c>
      <c r="L27" s="24" t="str">
        <f>Inputs!M32</f>
        <v/>
      </c>
      <c r="M27" s="24" t="str">
        <f>Inputs!N32</f>
        <v/>
      </c>
      <c r="N27" s="24" t="str">
        <f>Inputs!Q32</f>
        <v/>
      </c>
      <c r="O27" s="12">
        <f>Inputs!U32</f>
        <v>0</v>
      </c>
    </row>
    <row r="28" spans="1:15" ht="20" customHeight="1">
      <c r="A28" s="12">
        <f>Inputs!A33</f>
        <v>25</v>
      </c>
      <c r="B28" s="30">
        <f>Inputs!B33</f>
        <v>0</v>
      </c>
      <c r="C28" s="22">
        <f>Inputs!C33</f>
        <v>0</v>
      </c>
      <c r="D28" s="24" t="str">
        <f>Inputs!D33</f>
        <v/>
      </c>
      <c r="E28" s="24" t="str">
        <f>Inputs!F33</f>
        <v/>
      </c>
      <c r="F28" s="24">
        <f>Inputs!E33</f>
        <v>0</v>
      </c>
      <c r="G28" s="24">
        <f>Inputs!G33</f>
        <v>595</v>
      </c>
      <c r="H28" s="24">
        <f>Inputs!H33</f>
        <v>0</v>
      </c>
      <c r="I28" s="24" t="str">
        <f>Inputs!J33</f>
        <v/>
      </c>
      <c r="J28" s="24">
        <f>Inputs!K33</f>
        <v>6</v>
      </c>
      <c r="K28" s="31" t="str">
        <f>Inputs!L33</f>
        <v/>
      </c>
      <c r="L28" s="24" t="str">
        <f>Inputs!M33</f>
        <v/>
      </c>
      <c r="M28" s="24" t="str">
        <f>Inputs!N33</f>
        <v/>
      </c>
      <c r="N28" s="24" t="str">
        <f>Inputs!Q33</f>
        <v/>
      </c>
      <c r="O28" s="12">
        <f>Inputs!U33</f>
        <v>0</v>
      </c>
    </row>
    <row r="29" spans="1:15" ht="20" customHeight="1">
      <c r="A29" s="12">
        <f>Inputs!A34</f>
        <v>26</v>
      </c>
      <c r="B29" s="30">
        <f>Inputs!B34</f>
        <v>0</v>
      </c>
      <c r="C29" s="22">
        <f>Inputs!C34</f>
        <v>0</v>
      </c>
      <c r="D29" s="24" t="str">
        <f>Inputs!D34</f>
        <v/>
      </c>
      <c r="E29" s="24" t="str">
        <f>Inputs!F34</f>
        <v/>
      </c>
      <c r="F29" s="24">
        <f>Inputs!E34</f>
        <v>0</v>
      </c>
      <c r="G29" s="24">
        <f>Inputs!G34</f>
        <v>595</v>
      </c>
      <c r="H29" s="24">
        <f>Inputs!H34</f>
        <v>0</v>
      </c>
      <c r="I29" s="24" t="str">
        <f>Inputs!J34</f>
        <v/>
      </c>
      <c r="J29" s="24">
        <f>Inputs!K34</f>
        <v>6</v>
      </c>
      <c r="K29" s="31" t="str">
        <f>Inputs!L34</f>
        <v/>
      </c>
      <c r="L29" s="24" t="str">
        <f>Inputs!M34</f>
        <v/>
      </c>
      <c r="M29" s="24" t="str">
        <f>Inputs!N34</f>
        <v/>
      </c>
      <c r="N29" s="24" t="str">
        <f>Inputs!Q34</f>
        <v/>
      </c>
      <c r="O29" s="12">
        <f>Inputs!U34</f>
        <v>0</v>
      </c>
    </row>
    <row r="30" spans="1:15" ht="20" customHeight="1">
      <c r="A30" s="12">
        <f>Inputs!A35</f>
        <v>27</v>
      </c>
      <c r="B30" s="30">
        <f>Inputs!B35</f>
        <v>0</v>
      </c>
      <c r="C30" s="22">
        <f>Inputs!C35</f>
        <v>0</v>
      </c>
      <c r="D30" s="24" t="str">
        <f>Inputs!D35</f>
        <v/>
      </c>
      <c r="E30" s="24" t="str">
        <f>Inputs!F35</f>
        <v/>
      </c>
      <c r="F30" s="24">
        <f>Inputs!E35</f>
        <v>0</v>
      </c>
      <c r="G30" s="24">
        <f>Inputs!G35</f>
        <v>595</v>
      </c>
      <c r="H30" s="24">
        <f>Inputs!H35</f>
        <v>0</v>
      </c>
      <c r="I30" s="24" t="str">
        <f>Inputs!J35</f>
        <v/>
      </c>
      <c r="J30" s="24">
        <f>Inputs!K35</f>
        <v>6</v>
      </c>
      <c r="K30" s="31" t="str">
        <f>Inputs!L35</f>
        <v/>
      </c>
      <c r="L30" s="24" t="str">
        <f>Inputs!M35</f>
        <v/>
      </c>
      <c r="M30" s="24" t="str">
        <f>Inputs!N35</f>
        <v/>
      </c>
      <c r="N30" s="24" t="str">
        <f>Inputs!Q35</f>
        <v/>
      </c>
      <c r="O30" s="12">
        <f>Inputs!U35</f>
        <v>0</v>
      </c>
    </row>
    <row r="31" spans="1:15" ht="20" customHeight="1">
      <c r="A31" s="12">
        <f>Inputs!A36</f>
        <v>28</v>
      </c>
      <c r="B31" s="30">
        <f>Inputs!B36</f>
        <v>0</v>
      </c>
      <c r="C31" s="22">
        <f>Inputs!C36</f>
        <v>0</v>
      </c>
      <c r="D31" s="24" t="str">
        <f>Inputs!D36</f>
        <v/>
      </c>
      <c r="E31" s="24" t="str">
        <f>Inputs!F36</f>
        <v/>
      </c>
      <c r="F31" s="24">
        <f>Inputs!E36</f>
        <v>0</v>
      </c>
      <c r="G31" s="24">
        <f>Inputs!G36</f>
        <v>595</v>
      </c>
      <c r="H31" s="24">
        <f>Inputs!H36</f>
        <v>0</v>
      </c>
      <c r="I31" s="24" t="str">
        <f>Inputs!J36</f>
        <v/>
      </c>
      <c r="J31" s="24">
        <f>Inputs!K36</f>
        <v>6</v>
      </c>
      <c r="K31" s="31" t="str">
        <f>Inputs!L36</f>
        <v/>
      </c>
      <c r="L31" s="24" t="str">
        <f>Inputs!M36</f>
        <v/>
      </c>
      <c r="M31" s="24" t="str">
        <f>Inputs!N36</f>
        <v/>
      </c>
      <c r="N31" s="24" t="str">
        <f>Inputs!Q36</f>
        <v/>
      </c>
      <c r="O31" s="12">
        <f>Inputs!U36</f>
        <v>0</v>
      </c>
    </row>
    <row r="32" spans="1:15" ht="20" customHeight="1">
      <c r="A32" s="12">
        <f>Inputs!A37</f>
        <v>29</v>
      </c>
      <c r="B32" s="30">
        <f>Inputs!B37</f>
        <v>0</v>
      </c>
      <c r="C32" s="22">
        <f>Inputs!C37</f>
        <v>0</v>
      </c>
      <c r="D32" s="24" t="str">
        <f>Inputs!D37</f>
        <v/>
      </c>
      <c r="E32" s="24" t="str">
        <f>Inputs!F37</f>
        <v/>
      </c>
      <c r="F32" s="24">
        <f>Inputs!E37</f>
        <v>0</v>
      </c>
      <c r="G32" s="24">
        <f>Inputs!G37</f>
        <v>595</v>
      </c>
      <c r="H32" s="24">
        <f>Inputs!H37</f>
        <v>0</v>
      </c>
      <c r="I32" s="24" t="str">
        <f>Inputs!J37</f>
        <v/>
      </c>
      <c r="J32" s="24">
        <f>Inputs!K37</f>
        <v>6</v>
      </c>
      <c r="K32" s="31" t="str">
        <f>Inputs!L37</f>
        <v/>
      </c>
      <c r="L32" s="24" t="str">
        <f>Inputs!M37</f>
        <v/>
      </c>
      <c r="M32" s="24" t="str">
        <f>Inputs!N37</f>
        <v/>
      </c>
      <c r="N32" s="24" t="str">
        <f>Inputs!Q37</f>
        <v/>
      </c>
      <c r="O32" s="12">
        <f>Inputs!U37</f>
        <v>0</v>
      </c>
    </row>
    <row r="33" spans="1:15" ht="20" customHeight="1">
      <c r="A33" s="12">
        <f>Inputs!A38</f>
        <v>30</v>
      </c>
      <c r="B33" s="30">
        <f>Inputs!B38</f>
        <v>0</v>
      </c>
      <c r="C33" s="22">
        <f>Inputs!C38</f>
        <v>0</v>
      </c>
      <c r="D33" s="24" t="str">
        <f>Inputs!D38</f>
        <v/>
      </c>
      <c r="E33" s="24" t="str">
        <f>Inputs!F38</f>
        <v/>
      </c>
      <c r="F33" s="24">
        <f>Inputs!E38</f>
        <v>0</v>
      </c>
      <c r="G33" s="24">
        <f>Inputs!G38</f>
        <v>595</v>
      </c>
      <c r="H33" s="24">
        <f>Inputs!H38</f>
        <v>0</v>
      </c>
      <c r="I33" s="24" t="str">
        <f>Inputs!J38</f>
        <v/>
      </c>
      <c r="J33" s="24">
        <f>Inputs!K38</f>
        <v>6</v>
      </c>
      <c r="K33" s="31" t="str">
        <f>Inputs!L38</f>
        <v/>
      </c>
      <c r="L33" s="24" t="str">
        <f>Inputs!M38</f>
        <v/>
      </c>
      <c r="M33" s="24" t="str">
        <f>Inputs!N38</f>
        <v/>
      </c>
      <c r="N33" s="24" t="str">
        <f>Inputs!Q38</f>
        <v/>
      </c>
      <c r="O33" s="12">
        <f>Inputs!U38</f>
        <v>0</v>
      </c>
    </row>
    <row r="34" spans="1:15" ht="20" customHeight="1">
      <c r="A34" s="12">
        <f>Inputs!A39</f>
        <v>31</v>
      </c>
      <c r="B34" s="30">
        <f>Inputs!B39</f>
        <v>0</v>
      </c>
      <c r="C34" s="22">
        <f>Inputs!C39</f>
        <v>0</v>
      </c>
      <c r="D34" s="24" t="str">
        <f>Inputs!D39</f>
        <v/>
      </c>
      <c r="E34" s="24" t="str">
        <f>Inputs!F39</f>
        <v/>
      </c>
      <c r="F34" s="24">
        <f>Inputs!E39</f>
        <v>0</v>
      </c>
      <c r="G34" s="24">
        <f>Inputs!G39</f>
        <v>595</v>
      </c>
      <c r="H34" s="24">
        <f>Inputs!H39</f>
        <v>0</v>
      </c>
      <c r="I34" s="24" t="str">
        <f>Inputs!J39</f>
        <v/>
      </c>
      <c r="J34" s="24">
        <f>Inputs!K39</f>
        <v>6</v>
      </c>
      <c r="K34" s="31" t="str">
        <f>Inputs!L39</f>
        <v/>
      </c>
      <c r="L34" s="24" t="str">
        <f>Inputs!M39</f>
        <v/>
      </c>
      <c r="M34" s="24" t="str">
        <f>Inputs!N39</f>
        <v/>
      </c>
      <c r="N34" s="24" t="str">
        <f>Inputs!Q39</f>
        <v/>
      </c>
      <c r="O34" s="12">
        <f>Inputs!U39</f>
        <v>0</v>
      </c>
    </row>
    <row r="35" spans="1:15" ht="20" customHeight="1">
      <c r="A35" s="12">
        <f>Inputs!A40</f>
        <v>32</v>
      </c>
      <c r="B35" s="30">
        <f>Inputs!B40</f>
        <v>0</v>
      </c>
      <c r="C35" s="22">
        <f>Inputs!C40</f>
        <v>0</v>
      </c>
      <c r="D35" s="24" t="str">
        <f>Inputs!D40</f>
        <v/>
      </c>
      <c r="E35" s="24" t="str">
        <f>Inputs!F40</f>
        <v/>
      </c>
      <c r="F35" s="24">
        <f>Inputs!E40</f>
        <v>0</v>
      </c>
      <c r="G35" s="24">
        <f>Inputs!G40</f>
        <v>595</v>
      </c>
      <c r="H35" s="24">
        <f>Inputs!H40</f>
        <v>0</v>
      </c>
      <c r="I35" s="24" t="str">
        <f>Inputs!J40</f>
        <v/>
      </c>
      <c r="J35" s="24">
        <f>Inputs!K40</f>
        <v>6</v>
      </c>
      <c r="K35" s="31" t="str">
        <f>Inputs!L40</f>
        <v/>
      </c>
      <c r="L35" s="24" t="str">
        <f>Inputs!M40</f>
        <v/>
      </c>
      <c r="M35" s="24" t="str">
        <f>Inputs!N40</f>
        <v/>
      </c>
      <c r="N35" s="24" t="str">
        <f>Inputs!Q40</f>
        <v/>
      </c>
      <c r="O35" s="12">
        <f>Inputs!U40</f>
        <v>0</v>
      </c>
    </row>
    <row r="36" spans="1:15" ht="20" customHeight="1">
      <c r="A36" s="12">
        <f>Inputs!A41</f>
        <v>33</v>
      </c>
      <c r="B36" s="30">
        <f>Inputs!B41</f>
        <v>0</v>
      </c>
      <c r="C36" s="22">
        <f>Inputs!C41</f>
        <v>0</v>
      </c>
      <c r="D36" s="24" t="str">
        <f>Inputs!D41</f>
        <v/>
      </c>
      <c r="E36" s="24" t="str">
        <f>Inputs!F41</f>
        <v/>
      </c>
      <c r="F36" s="24">
        <f>Inputs!E41</f>
        <v>0</v>
      </c>
      <c r="G36" s="24">
        <f>Inputs!G41</f>
        <v>595</v>
      </c>
      <c r="H36" s="24">
        <f>Inputs!H41</f>
        <v>0</v>
      </c>
      <c r="I36" s="24" t="str">
        <f>Inputs!J41</f>
        <v/>
      </c>
      <c r="J36" s="24">
        <f>Inputs!K41</f>
        <v>6</v>
      </c>
      <c r="K36" s="31" t="str">
        <f>Inputs!L41</f>
        <v/>
      </c>
      <c r="L36" s="24" t="str">
        <f>Inputs!M41</f>
        <v/>
      </c>
      <c r="M36" s="24" t="str">
        <f>Inputs!N41</f>
        <v/>
      </c>
      <c r="N36" s="24" t="str">
        <f>Inputs!Q41</f>
        <v/>
      </c>
      <c r="O36" s="12">
        <f>Inputs!U41</f>
        <v>0</v>
      </c>
    </row>
    <row r="37" spans="1:15" ht="20" customHeight="1">
      <c r="A37" s="12">
        <f>Inputs!A42</f>
        <v>34</v>
      </c>
      <c r="B37" s="30">
        <f>Inputs!B42</f>
        <v>0</v>
      </c>
      <c r="C37" s="22">
        <f>Inputs!C42</f>
        <v>0</v>
      </c>
      <c r="D37" s="24" t="str">
        <f>Inputs!D42</f>
        <v/>
      </c>
      <c r="E37" s="24" t="str">
        <f>Inputs!F42</f>
        <v/>
      </c>
      <c r="F37" s="24">
        <f>Inputs!E42</f>
        <v>0</v>
      </c>
      <c r="G37" s="24">
        <f>Inputs!G42</f>
        <v>595</v>
      </c>
      <c r="H37" s="24">
        <f>Inputs!H42</f>
        <v>0</v>
      </c>
      <c r="I37" s="24" t="str">
        <f>Inputs!J42</f>
        <v/>
      </c>
      <c r="J37" s="24">
        <f>Inputs!K42</f>
        <v>6</v>
      </c>
      <c r="K37" s="31" t="str">
        <f>Inputs!L42</f>
        <v/>
      </c>
      <c r="L37" s="24" t="str">
        <f>Inputs!M42</f>
        <v/>
      </c>
      <c r="M37" s="24" t="str">
        <f>Inputs!N42</f>
        <v/>
      </c>
      <c r="N37" s="24" t="str">
        <f>Inputs!Q42</f>
        <v/>
      </c>
      <c r="O37" s="12">
        <f>Inputs!U42</f>
        <v>0</v>
      </c>
    </row>
    <row r="38" spans="1:15" ht="20" customHeight="1">
      <c r="A38" s="12">
        <f>Inputs!A43</f>
        <v>35</v>
      </c>
      <c r="B38" s="30">
        <f>Inputs!B43</f>
        <v>0</v>
      </c>
      <c r="C38" s="22">
        <f>Inputs!C43</f>
        <v>0</v>
      </c>
      <c r="D38" s="24" t="str">
        <f>Inputs!D43</f>
        <v/>
      </c>
      <c r="E38" s="24" t="str">
        <f>Inputs!F43</f>
        <v/>
      </c>
      <c r="F38" s="24">
        <f>Inputs!E43</f>
        <v>0</v>
      </c>
      <c r="G38" s="24">
        <f>Inputs!G43</f>
        <v>595</v>
      </c>
      <c r="H38" s="24">
        <f>Inputs!H43</f>
        <v>0</v>
      </c>
      <c r="I38" s="24" t="str">
        <f>Inputs!J43</f>
        <v/>
      </c>
      <c r="J38" s="24">
        <f>Inputs!K43</f>
        <v>6</v>
      </c>
      <c r="K38" s="31" t="str">
        <f>Inputs!L43</f>
        <v/>
      </c>
      <c r="L38" s="24" t="str">
        <f>Inputs!M43</f>
        <v/>
      </c>
      <c r="M38" s="24" t="str">
        <f>Inputs!N43</f>
        <v/>
      </c>
      <c r="N38" s="24" t="str">
        <f>Inputs!Q43</f>
        <v/>
      </c>
      <c r="O38" s="12">
        <f>Inputs!U43</f>
        <v>0</v>
      </c>
    </row>
    <row r="39" spans="1:15" ht="20" customHeight="1">
      <c r="A39" s="12">
        <f>Inputs!A44</f>
        <v>36</v>
      </c>
      <c r="B39" s="30">
        <f>Inputs!B44</f>
        <v>0</v>
      </c>
      <c r="C39" s="22">
        <f>Inputs!C44</f>
        <v>0</v>
      </c>
      <c r="D39" s="24" t="str">
        <f>Inputs!D44</f>
        <v/>
      </c>
      <c r="E39" s="24" t="str">
        <f>Inputs!F44</f>
        <v/>
      </c>
      <c r="F39" s="24">
        <f>Inputs!E44</f>
        <v>0</v>
      </c>
      <c r="G39" s="24">
        <f>Inputs!G44</f>
        <v>595</v>
      </c>
      <c r="H39" s="24">
        <f>Inputs!H44</f>
        <v>0</v>
      </c>
      <c r="I39" s="24" t="str">
        <f>Inputs!J44</f>
        <v/>
      </c>
      <c r="J39" s="24">
        <f>Inputs!K44</f>
        <v>6</v>
      </c>
      <c r="K39" s="31" t="str">
        <f>Inputs!L44</f>
        <v/>
      </c>
      <c r="L39" s="24" t="str">
        <f>Inputs!M44</f>
        <v/>
      </c>
      <c r="M39" s="24" t="str">
        <f>Inputs!N44</f>
        <v/>
      </c>
      <c r="N39" s="24" t="str">
        <f>Inputs!Q44</f>
        <v/>
      </c>
      <c r="O39" s="12">
        <f>Inputs!U44</f>
        <v>0</v>
      </c>
    </row>
    <row r="40" spans="1:15" ht="20" customHeight="1">
      <c r="A40" s="12">
        <f>Inputs!A45</f>
        <v>37</v>
      </c>
      <c r="B40" s="30">
        <f>Inputs!B45</f>
        <v>0</v>
      </c>
      <c r="C40" s="22">
        <f>Inputs!C45</f>
        <v>0</v>
      </c>
      <c r="D40" s="24" t="str">
        <f>Inputs!D45</f>
        <v/>
      </c>
      <c r="E40" s="24" t="str">
        <f>Inputs!F45</f>
        <v/>
      </c>
      <c r="F40" s="24">
        <f>Inputs!E45</f>
        <v>0</v>
      </c>
      <c r="G40" s="24">
        <f>Inputs!G45</f>
        <v>595</v>
      </c>
      <c r="H40" s="24">
        <f>Inputs!H45</f>
        <v>0</v>
      </c>
      <c r="I40" s="24" t="str">
        <f>Inputs!J45</f>
        <v/>
      </c>
      <c r="J40" s="24">
        <f>Inputs!K45</f>
        <v>6</v>
      </c>
      <c r="K40" s="31" t="str">
        <f>Inputs!L45</f>
        <v/>
      </c>
      <c r="L40" s="24" t="str">
        <f>Inputs!M45</f>
        <v/>
      </c>
      <c r="M40" s="24" t="str">
        <f>Inputs!N45</f>
        <v/>
      </c>
      <c r="N40" s="24" t="str">
        <f>Inputs!Q45</f>
        <v/>
      </c>
      <c r="O40" s="12">
        <f>Inputs!U45</f>
        <v>0</v>
      </c>
    </row>
    <row r="41" spans="1:15" ht="20" customHeight="1">
      <c r="A41" s="12">
        <f>Inputs!A46</f>
        <v>38</v>
      </c>
      <c r="B41" s="30">
        <f>Inputs!B46</f>
        <v>0</v>
      </c>
      <c r="C41" s="22">
        <f>Inputs!C46</f>
        <v>0</v>
      </c>
      <c r="D41" s="24" t="str">
        <f>Inputs!D46</f>
        <v/>
      </c>
      <c r="E41" s="24" t="str">
        <f>Inputs!F46</f>
        <v/>
      </c>
      <c r="F41" s="24">
        <f>Inputs!E46</f>
        <v>0</v>
      </c>
      <c r="G41" s="24">
        <f>Inputs!G46</f>
        <v>595</v>
      </c>
      <c r="H41" s="24">
        <f>Inputs!H46</f>
        <v>0</v>
      </c>
      <c r="I41" s="24" t="str">
        <f>Inputs!J46</f>
        <v/>
      </c>
      <c r="J41" s="24">
        <f>Inputs!K46</f>
        <v>6</v>
      </c>
      <c r="K41" s="31" t="str">
        <f>Inputs!L46</f>
        <v/>
      </c>
      <c r="L41" s="24" t="str">
        <f>Inputs!M46</f>
        <v/>
      </c>
      <c r="M41" s="24" t="str">
        <f>Inputs!N46</f>
        <v/>
      </c>
      <c r="N41" s="24" t="str">
        <f>Inputs!Q46</f>
        <v/>
      </c>
      <c r="O41" s="12">
        <f>Inputs!U46</f>
        <v>0</v>
      </c>
    </row>
    <row r="42" spans="1:15" ht="20" customHeight="1">
      <c r="A42" s="12">
        <f>Inputs!A47</f>
        <v>39</v>
      </c>
      <c r="B42" s="30">
        <f>Inputs!B47</f>
        <v>0</v>
      </c>
      <c r="C42" s="22">
        <f>Inputs!C47</f>
        <v>0</v>
      </c>
      <c r="D42" s="24" t="str">
        <f>Inputs!D47</f>
        <v/>
      </c>
      <c r="E42" s="24" t="str">
        <f>Inputs!F47</f>
        <v/>
      </c>
      <c r="F42" s="24">
        <f>Inputs!E47</f>
        <v>0</v>
      </c>
      <c r="G42" s="24">
        <f>Inputs!G47</f>
        <v>595</v>
      </c>
      <c r="H42" s="24">
        <f>Inputs!H47</f>
        <v>0</v>
      </c>
      <c r="I42" s="24" t="str">
        <f>Inputs!J47</f>
        <v/>
      </c>
      <c r="J42" s="24">
        <f>Inputs!K47</f>
        <v>6</v>
      </c>
      <c r="K42" s="31" t="str">
        <f>Inputs!L47</f>
        <v/>
      </c>
      <c r="L42" s="24" t="str">
        <f>Inputs!M47</f>
        <v/>
      </c>
      <c r="M42" s="24" t="str">
        <f>Inputs!N47</f>
        <v/>
      </c>
      <c r="N42" s="24" t="str">
        <f>Inputs!Q47</f>
        <v/>
      </c>
      <c r="O42" s="12">
        <f>Inputs!U47</f>
        <v>0</v>
      </c>
    </row>
    <row r="43" spans="1:15" ht="20" customHeight="1">
      <c r="A43" s="12">
        <f>Inputs!A48</f>
        <v>40</v>
      </c>
      <c r="B43" s="30">
        <f>Inputs!B48</f>
        <v>0</v>
      </c>
      <c r="C43" s="22">
        <f>Inputs!C48</f>
        <v>0</v>
      </c>
      <c r="D43" s="24" t="str">
        <f>Inputs!D48</f>
        <v/>
      </c>
      <c r="E43" s="24" t="str">
        <f>Inputs!F48</f>
        <v/>
      </c>
      <c r="F43" s="24">
        <f>Inputs!E48</f>
        <v>0</v>
      </c>
      <c r="G43" s="24">
        <f>Inputs!G48</f>
        <v>595</v>
      </c>
      <c r="H43" s="24">
        <f>Inputs!H48</f>
        <v>0</v>
      </c>
      <c r="I43" s="24" t="str">
        <f>Inputs!J48</f>
        <v/>
      </c>
      <c r="J43" s="24">
        <f>Inputs!K48</f>
        <v>6</v>
      </c>
      <c r="K43" s="31" t="str">
        <f>Inputs!L48</f>
        <v/>
      </c>
      <c r="L43" s="24" t="str">
        <f>Inputs!M48</f>
        <v/>
      </c>
      <c r="M43" s="24" t="str">
        <f>Inputs!N48</f>
        <v/>
      </c>
      <c r="N43" s="24" t="str">
        <f>Inputs!Q48</f>
        <v/>
      </c>
      <c r="O43" s="12">
        <f>Inputs!U48</f>
        <v>0</v>
      </c>
    </row>
    <row r="44" spans="1:15" ht="20" customHeight="1">
      <c r="A44" s="12">
        <f>Inputs!A49</f>
        <v>41</v>
      </c>
      <c r="B44" s="30">
        <f>Inputs!B49</f>
        <v>0</v>
      </c>
      <c r="C44" s="22">
        <f>Inputs!C49</f>
        <v>0</v>
      </c>
      <c r="D44" s="24" t="str">
        <f>Inputs!D49</f>
        <v/>
      </c>
      <c r="E44" s="24" t="str">
        <f>Inputs!F49</f>
        <v/>
      </c>
      <c r="F44" s="24">
        <f>Inputs!E49</f>
        <v>0</v>
      </c>
      <c r="G44" s="24">
        <f>Inputs!G49</f>
        <v>595</v>
      </c>
      <c r="H44" s="24">
        <f>Inputs!H49</f>
        <v>0</v>
      </c>
      <c r="I44" s="24" t="str">
        <f>Inputs!J49</f>
        <v/>
      </c>
      <c r="J44" s="24">
        <f>Inputs!K49</f>
        <v>6</v>
      </c>
      <c r="K44" s="31" t="str">
        <f>Inputs!L49</f>
        <v/>
      </c>
      <c r="L44" s="24" t="str">
        <f>Inputs!M49</f>
        <v/>
      </c>
      <c r="M44" s="24" t="str">
        <f>Inputs!N49</f>
        <v/>
      </c>
      <c r="N44" s="24" t="str">
        <f>Inputs!Q49</f>
        <v/>
      </c>
      <c r="O44" s="12">
        <f>Inputs!U49</f>
        <v>0</v>
      </c>
    </row>
    <row r="45" spans="1:15" ht="20" customHeight="1">
      <c r="A45" s="12">
        <f>Inputs!A50</f>
        <v>42</v>
      </c>
      <c r="B45" s="30">
        <f>Inputs!B50</f>
        <v>0</v>
      </c>
      <c r="C45" s="22">
        <f>Inputs!C50</f>
        <v>0</v>
      </c>
      <c r="D45" s="24" t="str">
        <f>Inputs!D50</f>
        <v/>
      </c>
      <c r="E45" s="24" t="str">
        <f>Inputs!F50</f>
        <v/>
      </c>
      <c r="F45" s="24">
        <f>Inputs!E50</f>
        <v>0</v>
      </c>
      <c r="G45" s="24">
        <f>Inputs!G50</f>
        <v>595</v>
      </c>
      <c r="H45" s="24">
        <f>Inputs!H50</f>
        <v>0</v>
      </c>
      <c r="I45" s="24" t="str">
        <f>Inputs!J50</f>
        <v/>
      </c>
      <c r="J45" s="24">
        <f>Inputs!K50</f>
        <v>6</v>
      </c>
      <c r="K45" s="31" t="str">
        <f>Inputs!L50</f>
        <v/>
      </c>
      <c r="L45" s="24" t="str">
        <f>Inputs!M50</f>
        <v/>
      </c>
      <c r="M45" s="24" t="str">
        <f>Inputs!N50</f>
        <v/>
      </c>
      <c r="N45" s="24" t="str">
        <f>Inputs!Q50</f>
        <v/>
      </c>
      <c r="O45" s="12">
        <f>Inputs!U50</f>
        <v>0</v>
      </c>
    </row>
    <row r="46" spans="1:15" ht="20" customHeight="1">
      <c r="A46" s="12">
        <f>Inputs!A51</f>
        <v>43</v>
      </c>
      <c r="B46" s="30">
        <f>Inputs!B51</f>
        <v>0</v>
      </c>
      <c r="C46" s="22">
        <f>Inputs!C51</f>
        <v>0</v>
      </c>
      <c r="D46" s="24" t="str">
        <f>Inputs!D51</f>
        <v/>
      </c>
      <c r="E46" s="24" t="str">
        <f>Inputs!F51</f>
        <v/>
      </c>
      <c r="F46" s="24">
        <f>Inputs!E51</f>
        <v>0</v>
      </c>
      <c r="G46" s="24">
        <f>Inputs!G51</f>
        <v>595</v>
      </c>
      <c r="H46" s="24">
        <f>Inputs!H51</f>
        <v>0</v>
      </c>
      <c r="I46" s="24" t="str">
        <f>Inputs!J51</f>
        <v/>
      </c>
      <c r="J46" s="24">
        <f>Inputs!K51</f>
        <v>6</v>
      </c>
      <c r="K46" s="31" t="str">
        <f>Inputs!L51</f>
        <v/>
      </c>
      <c r="L46" s="24" t="str">
        <f>Inputs!M51</f>
        <v/>
      </c>
      <c r="M46" s="24" t="str">
        <f>Inputs!N51</f>
        <v/>
      </c>
      <c r="N46" s="24" t="str">
        <f>Inputs!Q51</f>
        <v/>
      </c>
      <c r="O46" s="12">
        <f>Inputs!U51</f>
        <v>0</v>
      </c>
    </row>
    <row r="47" spans="1:15" ht="20" customHeight="1">
      <c r="A47" s="12">
        <f>Inputs!A52</f>
        <v>44</v>
      </c>
      <c r="B47" s="30">
        <f>Inputs!B52</f>
        <v>0</v>
      </c>
      <c r="C47" s="22">
        <f>Inputs!C52</f>
        <v>0</v>
      </c>
      <c r="D47" s="24" t="str">
        <f>Inputs!D52</f>
        <v/>
      </c>
      <c r="E47" s="24" t="str">
        <f>Inputs!F52</f>
        <v/>
      </c>
      <c r="F47" s="24">
        <f>Inputs!E52</f>
        <v>0</v>
      </c>
      <c r="G47" s="24">
        <f>Inputs!G52</f>
        <v>595</v>
      </c>
      <c r="H47" s="24">
        <f>Inputs!H52</f>
        <v>0</v>
      </c>
      <c r="I47" s="24" t="str">
        <f>Inputs!J52</f>
        <v/>
      </c>
      <c r="J47" s="24">
        <f>Inputs!K52</f>
        <v>6</v>
      </c>
      <c r="K47" s="31" t="str">
        <f>Inputs!L52</f>
        <v/>
      </c>
      <c r="L47" s="24" t="str">
        <f>Inputs!M52</f>
        <v/>
      </c>
      <c r="M47" s="24" t="str">
        <f>Inputs!N52</f>
        <v/>
      </c>
      <c r="N47" s="24" t="str">
        <f>Inputs!Q52</f>
        <v/>
      </c>
      <c r="O47" s="12">
        <f>Inputs!U52</f>
        <v>0</v>
      </c>
    </row>
    <row r="48" spans="1:15" ht="20" customHeight="1">
      <c r="A48" s="12">
        <f>Inputs!A53</f>
        <v>45</v>
      </c>
      <c r="B48" s="30">
        <f>Inputs!B53</f>
        <v>0</v>
      </c>
      <c r="C48" s="22">
        <f>Inputs!C53</f>
        <v>0</v>
      </c>
      <c r="D48" s="24" t="str">
        <f>Inputs!D53</f>
        <v/>
      </c>
      <c r="E48" s="24" t="str">
        <f>Inputs!F53</f>
        <v/>
      </c>
      <c r="F48" s="24">
        <f>Inputs!E53</f>
        <v>0</v>
      </c>
      <c r="G48" s="24">
        <f>Inputs!G53</f>
        <v>595</v>
      </c>
      <c r="H48" s="24">
        <f>Inputs!H53</f>
        <v>0</v>
      </c>
      <c r="I48" s="24" t="str">
        <f>Inputs!J53</f>
        <v/>
      </c>
      <c r="J48" s="24">
        <f>Inputs!K53</f>
        <v>6</v>
      </c>
      <c r="K48" s="31" t="str">
        <f>Inputs!L53</f>
        <v/>
      </c>
      <c r="L48" s="24" t="str">
        <f>Inputs!M53</f>
        <v/>
      </c>
      <c r="M48" s="24" t="str">
        <f>Inputs!N53</f>
        <v/>
      </c>
      <c r="N48" s="24" t="str">
        <f>Inputs!Q53</f>
        <v/>
      </c>
      <c r="O48" s="12">
        <f>Inputs!U53</f>
        <v>0</v>
      </c>
    </row>
    <row r="49" spans="1:15" ht="20" customHeight="1">
      <c r="A49" s="12">
        <f>Inputs!A54</f>
        <v>46</v>
      </c>
      <c r="B49" s="30">
        <f>Inputs!B54</f>
        <v>0</v>
      </c>
      <c r="C49" s="22">
        <f>Inputs!C54</f>
        <v>0</v>
      </c>
      <c r="D49" s="24" t="str">
        <f>Inputs!D54</f>
        <v/>
      </c>
      <c r="E49" s="24" t="str">
        <f>Inputs!F54</f>
        <v/>
      </c>
      <c r="F49" s="24">
        <f>Inputs!E54</f>
        <v>0</v>
      </c>
      <c r="G49" s="24">
        <f>Inputs!G54</f>
        <v>595</v>
      </c>
      <c r="H49" s="24">
        <f>Inputs!H54</f>
        <v>0</v>
      </c>
      <c r="I49" s="24" t="str">
        <f>Inputs!J54</f>
        <v/>
      </c>
      <c r="J49" s="24">
        <f>Inputs!K54</f>
        <v>6</v>
      </c>
      <c r="K49" s="31" t="str">
        <f>Inputs!L54</f>
        <v/>
      </c>
      <c r="L49" s="24" t="str">
        <f>Inputs!M54</f>
        <v/>
      </c>
      <c r="M49" s="24" t="str">
        <f>Inputs!N54</f>
        <v/>
      </c>
      <c r="N49" s="24" t="str">
        <f>Inputs!Q54</f>
        <v/>
      </c>
      <c r="O49" s="12">
        <f>Inputs!U54</f>
        <v>0</v>
      </c>
    </row>
    <row r="50" spans="1:15" ht="20" customHeight="1">
      <c r="A50" s="12">
        <f>Inputs!A55</f>
        <v>47</v>
      </c>
      <c r="B50" s="30">
        <f>Inputs!B55</f>
        <v>0</v>
      </c>
      <c r="C50" s="22">
        <f>Inputs!C55</f>
        <v>0</v>
      </c>
      <c r="D50" s="24" t="str">
        <f>Inputs!D55</f>
        <v/>
      </c>
      <c r="E50" s="24" t="str">
        <f>Inputs!F55</f>
        <v/>
      </c>
      <c r="F50" s="24">
        <f>Inputs!E55</f>
        <v>0</v>
      </c>
      <c r="G50" s="24">
        <f>Inputs!G55</f>
        <v>595</v>
      </c>
      <c r="H50" s="24">
        <f>Inputs!H55</f>
        <v>0</v>
      </c>
      <c r="I50" s="24" t="str">
        <f>Inputs!J55</f>
        <v/>
      </c>
      <c r="J50" s="24">
        <f>Inputs!K55</f>
        <v>6</v>
      </c>
      <c r="K50" s="31" t="str">
        <f>Inputs!L55</f>
        <v/>
      </c>
      <c r="L50" s="24" t="str">
        <f>Inputs!M55</f>
        <v/>
      </c>
      <c r="M50" s="24" t="str">
        <f>Inputs!N55</f>
        <v/>
      </c>
      <c r="N50" s="24" t="str">
        <f>Inputs!Q55</f>
        <v/>
      </c>
      <c r="O50" s="12">
        <f>Inputs!U55</f>
        <v>0</v>
      </c>
    </row>
    <row r="51" spans="1:15" ht="20" customHeight="1">
      <c r="A51" s="12">
        <f>Inputs!A56</f>
        <v>48</v>
      </c>
      <c r="B51" s="30">
        <f>Inputs!B56</f>
        <v>0</v>
      </c>
      <c r="C51" s="22">
        <f>Inputs!C56</f>
        <v>0</v>
      </c>
      <c r="D51" s="24" t="str">
        <f>Inputs!D56</f>
        <v/>
      </c>
      <c r="E51" s="24" t="str">
        <f>Inputs!F56</f>
        <v/>
      </c>
      <c r="F51" s="24">
        <f>Inputs!E56</f>
        <v>0</v>
      </c>
      <c r="G51" s="24">
        <f>Inputs!G56</f>
        <v>595</v>
      </c>
      <c r="H51" s="24">
        <f>Inputs!H56</f>
        <v>0</v>
      </c>
      <c r="I51" s="24" t="str">
        <f>Inputs!J56</f>
        <v/>
      </c>
      <c r="J51" s="24">
        <f>Inputs!K56</f>
        <v>6</v>
      </c>
      <c r="K51" s="31" t="str">
        <f>Inputs!L56</f>
        <v/>
      </c>
      <c r="L51" s="24" t="str">
        <f>Inputs!M56</f>
        <v/>
      </c>
      <c r="M51" s="24" t="str">
        <f>Inputs!N56</f>
        <v/>
      </c>
      <c r="N51" s="24" t="str">
        <f>Inputs!Q56</f>
        <v/>
      </c>
      <c r="O51" s="12">
        <f>Inputs!U56</f>
        <v>0</v>
      </c>
    </row>
    <row r="52" spans="1:15" ht="20" customHeight="1">
      <c r="A52" s="12">
        <f>Inputs!A57</f>
        <v>49</v>
      </c>
      <c r="B52" s="30">
        <f>Inputs!B57</f>
        <v>0</v>
      </c>
      <c r="C52" s="22">
        <f>Inputs!C57</f>
        <v>0</v>
      </c>
      <c r="D52" s="24" t="str">
        <f>Inputs!D57</f>
        <v/>
      </c>
      <c r="E52" s="24" t="str">
        <f>Inputs!F57</f>
        <v/>
      </c>
      <c r="F52" s="24">
        <f>Inputs!E57</f>
        <v>0</v>
      </c>
      <c r="G52" s="24">
        <f>Inputs!G57</f>
        <v>595</v>
      </c>
      <c r="H52" s="24">
        <f>Inputs!H57</f>
        <v>0</v>
      </c>
      <c r="I52" s="24" t="str">
        <f>Inputs!J57</f>
        <v/>
      </c>
      <c r="J52" s="24">
        <f>Inputs!K57</f>
        <v>6</v>
      </c>
      <c r="K52" s="31" t="str">
        <f>Inputs!L57</f>
        <v/>
      </c>
      <c r="L52" s="24" t="str">
        <f>Inputs!M57</f>
        <v/>
      </c>
      <c r="M52" s="24" t="str">
        <f>Inputs!N57</f>
        <v/>
      </c>
      <c r="N52" s="24" t="str">
        <f>Inputs!Q57</f>
        <v/>
      </c>
      <c r="O52" s="12">
        <f>Inputs!U57</f>
        <v>0</v>
      </c>
    </row>
    <row r="53" spans="1:15" ht="20" customHeight="1">
      <c r="A53" s="12">
        <f>Inputs!A58</f>
        <v>50</v>
      </c>
      <c r="B53" s="30">
        <f>Inputs!B58</f>
        <v>0</v>
      </c>
      <c r="C53" s="22">
        <f>Inputs!C58</f>
        <v>0</v>
      </c>
      <c r="D53" s="24" t="str">
        <f>Inputs!D58</f>
        <v/>
      </c>
      <c r="E53" s="24" t="str">
        <f>Inputs!F58</f>
        <v/>
      </c>
      <c r="F53" s="24">
        <f>Inputs!E58</f>
        <v>0</v>
      </c>
      <c r="G53" s="24">
        <f>Inputs!G58</f>
        <v>595</v>
      </c>
      <c r="H53" s="24">
        <f>Inputs!H58</f>
        <v>0</v>
      </c>
      <c r="I53" s="24" t="str">
        <f>Inputs!J58</f>
        <v/>
      </c>
      <c r="J53" s="24">
        <f>Inputs!K58</f>
        <v>6</v>
      </c>
      <c r="K53" s="31" t="str">
        <f>Inputs!L58</f>
        <v/>
      </c>
      <c r="L53" s="24" t="str">
        <f>Inputs!M58</f>
        <v/>
      </c>
      <c r="M53" s="24" t="str">
        <f>Inputs!N58</f>
        <v/>
      </c>
      <c r="N53" s="24" t="str">
        <f>Inputs!Q58</f>
        <v/>
      </c>
      <c r="O53" s="12">
        <f>Inputs!U58</f>
        <v>0</v>
      </c>
    </row>
    <row r="54" spans="1:1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</row>
    <row r="55" spans="1:1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"/>
  <sheetViews>
    <sheetView workbookViewId="0"/>
  </sheetViews>
  <sheetFormatPr defaultRowHeight="14"/>
  <cols>
    <col min="1" max="1" width="12" customWidth="1"/>
    <col min="2" max="2" width="10" customWidth="1"/>
    <col min="3" max="3" width="20" customWidth="1"/>
    <col min="4" max="4" width="15" customWidth="1"/>
    <col min="5" max="5" width="22" customWidth="1"/>
    <col min="6" max="6" width="20" customWidth="1"/>
    <col min="7" max="7" width="18" customWidth="1"/>
    <col min="8" max="8" width="32" customWidth="1"/>
  </cols>
  <sheetData>
    <row r="1" spans="1:21" ht="24" customHeight="1">
      <c r="A1" s="4" t="s">
        <v>42</v>
      </c>
      <c r="B1" s="4"/>
      <c r="C1" s="4"/>
      <c r="D1" s="4"/>
      <c r="E1" s="4"/>
      <c r="F1" s="4"/>
      <c r="G1" s="4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3"/>
      <c r="B2" s="3"/>
      <c r="C2" s="3"/>
      <c r="D2" s="3"/>
      <c r="E2" s="3"/>
      <c r="F2" s="3"/>
      <c r="G2" s="3"/>
      <c r="H2" s="3"/>
    </row>
    <row r="3" spans="1:21" ht="20" customHeight="1">
      <c r="A3" s="5" t="s">
        <v>9</v>
      </c>
      <c r="B3" s="5" t="s">
        <v>43</v>
      </c>
      <c r="C3" s="5"/>
      <c r="D3" s="5" t="s">
        <v>13</v>
      </c>
      <c r="E3" s="5" t="s">
        <v>44</v>
      </c>
      <c r="F3" s="5"/>
      <c r="G3" s="5" t="s">
        <v>45</v>
      </c>
      <c r="H3" s="5" t="s">
        <v>44</v>
      </c>
    </row>
    <row r="4" spans="1:21" ht="20" customHeight="1">
      <c r="A4" s="3">
        <v>595</v>
      </c>
      <c r="B4" s="3">
        <v>595</v>
      </c>
      <c r="C4" s="3"/>
      <c r="D4" s="3">
        <v>6</v>
      </c>
      <c r="E4" s="3" t="s">
        <v>46</v>
      </c>
      <c r="F4" s="3"/>
      <c r="G4" s="3">
        <v>1</v>
      </c>
      <c r="H4" s="3" t="s">
        <v>47</v>
      </c>
    </row>
    <row r="5" spans="1:21" ht="20" customHeight="1">
      <c r="A5" s="3">
        <v>512</v>
      </c>
      <c r="B5" s="3">
        <v>512</v>
      </c>
      <c r="C5" s="3"/>
      <c r="D5" s="3">
        <v>4</v>
      </c>
      <c r="E5" s="3" t="s">
        <v>48</v>
      </c>
      <c r="F5" s="3"/>
      <c r="G5" s="3">
        <v>2</v>
      </c>
      <c r="H5" s="3" t="s">
        <v>49</v>
      </c>
    </row>
    <row r="6" spans="1:21" ht="20" customHeight="1">
      <c r="A6" s="3">
        <v>128</v>
      </c>
      <c r="B6" s="3">
        <v>128</v>
      </c>
      <c r="C6" s="3"/>
      <c r="D6" s="3">
        <v>2</v>
      </c>
      <c r="E6" s="3" t="s">
        <v>50</v>
      </c>
      <c r="F6" s="3"/>
      <c r="G6" s="3">
        <v>3</v>
      </c>
      <c r="H6" s="3" t="s">
        <v>51</v>
      </c>
    </row>
    <row r="7" spans="1:21" ht="20" customHeight="1">
      <c r="A7" s="3"/>
      <c r="B7" s="3"/>
      <c r="C7" s="3"/>
      <c r="D7" s="3">
        <v>1</v>
      </c>
      <c r="E7" s="3" t="s">
        <v>52</v>
      </c>
      <c r="F7" s="3"/>
      <c r="G7" s="3" t="s">
        <v>53</v>
      </c>
      <c r="H7" s="3" t="s">
        <v>54</v>
      </c>
    </row>
    <row r="8" spans="1:21" ht="20" customHeight="1">
      <c r="A8" s="3"/>
      <c r="B8" s="3"/>
      <c r="C8" s="3"/>
      <c r="D8" s="3"/>
      <c r="E8" s="3"/>
      <c r="F8" s="3"/>
      <c r="G8" s="3" t="s">
        <v>55</v>
      </c>
      <c r="H8" s="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"/>
  <sheetViews>
    <sheetView workbookViewId="0"/>
  </sheetViews>
  <sheetFormatPr defaultRowHeight="14"/>
  <cols>
    <col min="1" max="1" width="8" customWidth="1"/>
    <col min="2" max="2" width="75" customWidth="1"/>
    <col min="3" max="3" width="28" customWidth="1"/>
  </cols>
  <sheetData>
    <row r="1" spans="1:21" ht="24" customHeight="1">
      <c r="A1" s="4" t="s">
        <v>57</v>
      </c>
      <c r="B1" s="4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3"/>
      <c r="B2" s="3"/>
      <c r="C2" s="3"/>
    </row>
    <row r="3" spans="1:21">
      <c r="A3" s="5" t="s">
        <v>58</v>
      </c>
      <c r="B3" s="5" t="s">
        <v>59</v>
      </c>
      <c r="C3" s="5" t="s">
        <v>60</v>
      </c>
    </row>
    <row r="4" spans="1:21" ht="42" customHeight="1">
      <c r="A4" s="6">
        <v>1</v>
      </c>
      <c r="B4" s="6" t="s">
        <v>61</v>
      </c>
      <c r="C4" s="6" t="s">
        <v>62</v>
      </c>
    </row>
    <row r="5" spans="1:21" ht="42" customHeight="1">
      <c r="A5" s="6">
        <v>2</v>
      </c>
      <c r="B5" s="6" t="s">
        <v>63</v>
      </c>
      <c r="C5" s="6" t="s">
        <v>64</v>
      </c>
    </row>
    <row r="6" spans="1:21" ht="42" customHeight="1">
      <c r="A6" s="6">
        <v>3</v>
      </c>
      <c r="B6" s="6" t="s">
        <v>65</v>
      </c>
      <c r="C6" s="6" t="s">
        <v>66</v>
      </c>
    </row>
    <row r="7" spans="1:21" ht="42" customHeight="1">
      <c r="A7" s="6">
        <v>4</v>
      </c>
      <c r="B7" s="6" t="s">
        <v>67</v>
      </c>
      <c r="C7" s="6" t="s">
        <v>68</v>
      </c>
    </row>
    <row r="8" spans="1:21" ht="42" customHeight="1">
      <c r="A8" s="6">
        <v>5</v>
      </c>
      <c r="B8" s="6" t="s">
        <v>69</v>
      </c>
      <c r="C8" s="6" t="s">
        <v>70</v>
      </c>
    </row>
    <row r="9" spans="1:21" ht="42" customHeight="1">
      <c r="A9" s="6">
        <v>6</v>
      </c>
      <c r="B9" s="6" t="s">
        <v>71</v>
      </c>
      <c r="C9" s="6" t="s">
        <v>72</v>
      </c>
    </row>
    <row r="10" spans="1:21" ht="42" customHeight="1">
      <c r="A10" s="6">
        <v>7</v>
      </c>
      <c r="B10" s="6" t="s">
        <v>73</v>
      </c>
      <c r="C10" s="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Weekly Plan</vt:lpstr>
      <vt:lpstr>Lookups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Angelo Pereira</cp:lastModifiedBy>
  <dcterms:modified xsi:type="dcterms:W3CDTF">2026-04-28T07:38:43Z</dcterms:modified>
</cp:coreProperties>
</file>